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Job Search\New folder\"/>
    </mc:Choice>
  </mc:AlternateContent>
  <xr:revisionPtr revIDLastSave="0" documentId="13_ncr:1_{2CE7F1A9-4AF1-4C07-983C-93A11B0C077D}" xr6:coauthVersionLast="47" xr6:coauthVersionMax="47" xr10:uidLastSave="{00000000-0000-0000-0000-000000000000}"/>
  <bookViews>
    <workbookView xWindow="-110" yWindow="-110" windowWidth="19420" windowHeight="10300" xr2:uid="{2E5DF12F-63B8-4674-A135-7B3AE18D6B15}"/>
  </bookViews>
  <sheets>
    <sheet name="S1" sheetId="2" r:id="rId1"/>
    <sheet name="S2" sheetId="3" r:id="rId2"/>
    <sheet name="S3" sheetId="4" r:id="rId3"/>
    <sheet name="S4"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6" i="4" l="1"/>
  <c r="J86" i="4"/>
  <c r="G87" i="4"/>
  <c r="H87" i="4"/>
  <c r="G88" i="4"/>
  <c r="H88" i="4"/>
  <c r="F88" i="4"/>
  <c r="F87" i="4"/>
  <c r="K82" i="4"/>
  <c r="J82" i="4"/>
  <c r="G83" i="4"/>
  <c r="H83" i="4"/>
  <c r="G84" i="4"/>
  <c r="H84" i="4"/>
  <c r="F84" i="4"/>
  <c r="F83" i="4"/>
  <c r="S31" i="5"/>
  <c r="R31" i="5"/>
  <c r="R30" i="5"/>
  <c r="R28" i="5"/>
  <c r="S27" i="5"/>
  <c r="R27" i="5"/>
  <c r="S28" i="5"/>
  <c r="S29" i="5"/>
  <c r="S30" i="5"/>
  <c r="S32" i="5"/>
  <c r="S33" i="5"/>
  <c r="R29" i="5"/>
  <c r="R32" i="5"/>
  <c r="R33" i="5"/>
  <c r="O18" i="5"/>
  <c r="P18" i="5"/>
  <c r="O19" i="5"/>
  <c r="P19" i="5"/>
  <c r="O20" i="5"/>
  <c r="P20" i="5"/>
  <c r="O21" i="5"/>
  <c r="P21" i="5"/>
  <c r="O22" i="5"/>
  <c r="P22" i="5"/>
  <c r="O23" i="5"/>
  <c r="P23" i="5"/>
  <c r="O24" i="5"/>
  <c r="P24" i="5"/>
  <c r="O25" i="5"/>
  <c r="P25" i="5"/>
  <c r="N25" i="5"/>
  <c r="N24" i="5"/>
  <c r="N23" i="5"/>
  <c r="N22" i="5"/>
  <c r="N21" i="5"/>
  <c r="N20" i="5"/>
  <c r="N19" i="5"/>
  <c r="C20" i="5"/>
  <c r="B20" i="5"/>
  <c r="N18" i="5"/>
  <c r="O15" i="5"/>
  <c r="P15" i="5"/>
  <c r="O16" i="5"/>
  <c r="P16" i="5"/>
  <c r="N16" i="5"/>
  <c r="N15" i="5"/>
  <c r="G14" i="5"/>
  <c r="H14" i="5"/>
  <c r="G15" i="5"/>
  <c r="H15" i="5"/>
  <c r="G16" i="5"/>
  <c r="H16" i="5"/>
  <c r="F16" i="5"/>
  <c r="F15" i="5"/>
  <c r="F14" i="5"/>
  <c r="W11" i="5" l="1"/>
  <c r="Z11" i="5" s="1"/>
  <c r="X11" i="5"/>
  <c r="W12" i="5"/>
  <c r="X12" i="5"/>
  <c r="V12" i="5"/>
  <c r="V11" i="5"/>
  <c r="G11" i="5"/>
  <c r="H11" i="5"/>
  <c r="K11" i="5" s="1"/>
  <c r="G12" i="5"/>
  <c r="H12" i="5"/>
  <c r="F12" i="5"/>
  <c r="F11" i="5"/>
  <c r="O11" i="5"/>
  <c r="P11" i="5"/>
  <c r="O12" i="5"/>
  <c r="P12" i="5"/>
  <c r="N12" i="5"/>
  <c r="N11" i="5"/>
  <c r="J18" i="5"/>
  <c r="J19" i="5"/>
  <c r="K19" i="5"/>
  <c r="J11" i="5" l="1"/>
  <c r="AA11" i="5"/>
  <c r="K18" i="5"/>
  <c r="S15" i="5"/>
  <c r="R11" i="5"/>
  <c r="R15" i="5"/>
  <c r="S11" i="5"/>
  <c r="G20" i="4"/>
  <c r="H20" i="4"/>
  <c r="F20" i="4"/>
  <c r="G19" i="4"/>
  <c r="H19" i="4"/>
  <c r="K18" i="4" s="1"/>
  <c r="F19" i="4"/>
  <c r="M61" i="4"/>
  <c r="L61" i="4"/>
  <c r="K61" i="4"/>
  <c r="M57" i="4"/>
  <c r="L57" i="4"/>
  <c r="K57" i="4"/>
  <c r="G62" i="4"/>
  <c r="H62" i="4"/>
  <c r="I62" i="4"/>
  <c r="G63" i="4"/>
  <c r="H63" i="4"/>
  <c r="I63" i="4"/>
  <c r="G58" i="4"/>
  <c r="H58" i="4"/>
  <c r="I58" i="4"/>
  <c r="G59" i="4"/>
  <c r="H59" i="4"/>
  <c r="I59" i="4"/>
  <c r="F63" i="4"/>
  <c r="F59" i="4"/>
  <c r="F62" i="4"/>
  <c r="F58" i="4"/>
  <c r="K52" i="4"/>
  <c r="J52" i="4"/>
  <c r="G53" i="4"/>
  <c r="H53" i="4"/>
  <c r="G54" i="4"/>
  <c r="H54" i="4"/>
  <c r="F54" i="4"/>
  <c r="F53" i="4"/>
  <c r="K48" i="4"/>
  <c r="J48" i="4"/>
  <c r="G49" i="4"/>
  <c r="H49" i="4"/>
  <c r="G50" i="4"/>
  <c r="H50" i="4"/>
  <c r="F50" i="4"/>
  <c r="F49" i="4"/>
  <c r="K43" i="4"/>
  <c r="J43" i="4"/>
  <c r="G44" i="4"/>
  <c r="H44" i="4"/>
  <c r="G45" i="4"/>
  <c r="H45" i="4"/>
  <c r="F45" i="4"/>
  <c r="F44" i="4"/>
  <c r="K39" i="4"/>
  <c r="J39" i="4"/>
  <c r="G40" i="4"/>
  <c r="H40" i="4"/>
  <c r="G41" i="4"/>
  <c r="H41" i="4"/>
  <c r="F41" i="4"/>
  <c r="F40" i="4"/>
  <c r="K32" i="4"/>
  <c r="J32" i="4"/>
  <c r="G33" i="4"/>
  <c r="H33" i="4"/>
  <c r="G34" i="4"/>
  <c r="H34" i="4"/>
  <c r="F33" i="4"/>
  <c r="F34" i="4"/>
  <c r="K28" i="4"/>
  <c r="J28" i="4"/>
  <c r="G29" i="4"/>
  <c r="H29" i="4"/>
  <c r="G30" i="4"/>
  <c r="H30" i="4"/>
  <c r="F30" i="4"/>
  <c r="F29" i="4"/>
  <c r="K22" i="4"/>
  <c r="J22" i="4"/>
  <c r="G23" i="4"/>
  <c r="H23" i="4"/>
  <c r="G24" i="4"/>
  <c r="H24" i="4"/>
  <c r="G25" i="4"/>
  <c r="H25" i="4"/>
  <c r="F25" i="4"/>
  <c r="F24" i="4"/>
  <c r="F23" i="4"/>
  <c r="J18" i="4"/>
  <c r="M13" i="4"/>
  <c r="L13" i="4"/>
  <c r="K13" i="4"/>
  <c r="G14" i="4"/>
  <c r="H14" i="4"/>
  <c r="I14" i="4"/>
  <c r="G15" i="4"/>
  <c r="H15" i="4"/>
  <c r="I15" i="4"/>
  <c r="F15" i="4"/>
  <c r="F14" i="4"/>
  <c r="L9" i="4"/>
  <c r="M9" i="4"/>
  <c r="K9" i="4"/>
  <c r="G10" i="4"/>
  <c r="H10" i="4"/>
  <c r="I10" i="4"/>
  <c r="G11" i="4"/>
  <c r="H11" i="4"/>
  <c r="I11" i="4"/>
  <c r="F11" i="4"/>
  <c r="F10" i="4"/>
  <c r="C50" i="4"/>
  <c r="D50" i="4"/>
  <c r="B50" i="4"/>
  <c r="I60" i="3"/>
  <c r="J60" i="3"/>
  <c r="I61" i="3"/>
  <c r="J61" i="3"/>
  <c r="I62" i="3"/>
  <c r="J62" i="3"/>
  <c r="I64" i="3"/>
  <c r="J64" i="3"/>
  <c r="I65" i="3"/>
  <c r="J65" i="3"/>
  <c r="I66" i="3"/>
  <c r="J66" i="3"/>
  <c r="I68" i="3"/>
  <c r="J68" i="3"/>
  <c r="I69" i="3"/>
  <c r="J69" i="3"/>
  <c r="I70" i="3"/>
  <c r="J70" i="3"/>
  <c r="I71" i="3"/>
  <c r="J71" i="3"/>
  <c r="I72" i="3"/>
  <c r="J72" i="3"/>
  <c r="I73" i="3"/>
  <c r="J73" i="3"/>
  <c r="I74" i="3"/>
  <c r="J74" i="3"/>
  <c r="J75" i="3"/>
  <c r="I75" i="3"/>
  <c r="I44" i="3"/>
  <c r="J44" i="3"/>
  <c r="I45" i="3"/>
  <c r="J45" i="3"/>
  <c r="I46" i="3"/>
  <c r="J46" i="3"/>
  <c r="I47" i="3"/>
  <c r="J47" i="3"/>
  <c r="I48" i="3"/>
  <c r="J48" i="3"/>
  <c r="I49" i="3"/>
  <c r="J49" i="3"/>
  <c r="I50" i="3"/>
  <c r="J50" i="3"/>
  <c r="I52" i="3"/>
  <c r="J52" i="3"/>
  <c r="I53" i="3"/>
  <c r="J53" i="3"/>
  <c r="I54" i="3"/>
  <c r="J54" i="3"/>
  <c r="I55" i="3"/>
  <c r="J55" i="3"/>
  <c r="I56" i="3"/>
  <c r="J56" i="3"/>
  <c r="I57" i="3"/>
  <c r="J57" i="3"/>
  <c r="J58" i="3"/>
  <c r="I58" i="3"/>
  <c r="G45" i="3"/>
  <c r="G46" i="3"/>
  <c r="G47" i="3"/>
  <c r="G48" i="3"/>
  <c r="G49" i="3"/>
  <c r="G50" i="3"/>
  <c r="G52" i="3"/>
  <c r="G53" i="3"/>
  <c r="G54" i="3"/>
  <c r="G55" i="3"/>
  <c r="G56" i="3"/>
  <c r="G57" i="3"/>
  <c r="G58" i="3"/>
  <c r="G60" i="3"/>
  <c r="G61" i="3"/>
  <c r="G62" i="3"/>
  <c r="G64" i="3"/>
  <c r="G65" i="3"/>
  <c r="G66" i="3"/>
  <c r="G68" i="3"/>
  <c r="G69" i="3"/>
  <c r="G70" i="3"/>
  <c r="G71" i="3"/>
  <c r="G72" i="3"/>
  <c r="G73" i="3"/>
  <c r="G74" i="3"/>
  <c r="G75" i="3"/>
  <c r="F45" i="3"/>
  <c r="F46" i="3"/>
  <c r="F47" i="3"/>
  <c r="F48" i="3"/>
  <c r="F49" i="3"/>
  <c r="F50" i="3"/>
  <c r="F52" i="3"/>
  <c r="F53" i="3"/>
  <c r="F54" i="3"/>
  <c r="F55" i="3"/>
  <c r="F56" i="3"/>
  <c r="F57" i="3"/>
  <c r="F58" i="3"/>
  <c r="F60" i="3"/>
  <c r="F61" i="3"/>
  <c r="F62" i="3"/>
  <c r="F64" i="3"/>
  <c r="F65" i="3"/>
  <c r="F66" i="3"/>
  <c r="F68" i="3"/>
  <c r="F69" i="3"/>
  <c r="F70" i="3"/>
  <c r="F71" i="3"/>
  <c r="F72" i="3"/>
  <c r="F73" i="3"/>
  <c r="F74" i="3"/>
  <c r="F75" i="3"/>
  <c r="G44" i="3"/>
  <c r="F44" i="3"/>
  <c r="L12" i="3"/>
  <c r="M12" i="3"/>
  <c r="N12" i="3"/>
  <c r="L13" i="3"/>
  <c r="M13" i="3"/>
  <c r="N13" i="3"/>
  <c r="L14" i="3"/>
  <c r="M14" i="3"/>
  <c r="N14" i="3"/>
  <c r="L15" i="3"/>
  <c r="M15" i="3"/>
  <c r="N15" i="3"/>
  <c r="L16" i="3"/>
  <c r="M16" i="3"/>
  <c r="N16" i="3"/>
  <c r="L17" i="3"/>
  <c r="M17" i="3"/>
  <c r="N17" i="3"/>
  <c r="L18" i="3"/>
  <c r="M18" i="3"/>
  <c r="N18" i="3"/>
  <c r="L19" i="3"/>
  <c r="M19" i="3"/>
  <c r="N19" i="3"/>
  <c r="L20" i="3"/>
  <c r="M20" i="3"/>
  <c r="N20" i="3"/>
  <c r="L21" i="3"/>
  <c r="M21" i="3"/>
  <c r="N21" i="3"/>
  <c r="L22" i="3"/>
  <c r="M22" i="3"/>
  <c r="N22" i="3"/>
  <c r="L23" i="3"/>
  <c r="M23" i="3"/>
  <c r="N23" i="3"/>
  <c r="L25" i="3"/>
  <c r="M25" i="3"/>
  <c r="N25" i="3"/>
  <c r="L27" i="3"/>
  <c r="M27" i="3"/>
  <c r="N27" i="3"/>
  <c r="L28" i="3"/>
  <c r="M28" i="3"/>
  <c r="N28" i="3"/>
  <c r="L29" i="3"/>
  <c r="M29" i="3"/>
  <c r="N29" i="3"/>
  <c r="L32" i="3"/>
  <c r="M32" i="3"/>
  <c r="N32" i="3"/>
  <c r="L35" i="3"/>
  <c r="M35" i="3"/>
  <c r="N35" i="3"/>
  <c r="L37" i="3"/>
  <c r="M37" i="3"/>
  <c r="N37" i="3"/>
  <c r="M10" i="3"/>
  <c r="N10" i="3"/>
  <c r="L10" i="3"/>
  <c r="J12" i="3"/>
  <c r="J13" i="3"/>
  <c r="J14" i="3"/>
  <c r="J15" i="3"/>
  <c r="J16" i="3"/>
  <c r="J17" i="3"/>
  <c r="J18" i="3"/>
  <c r="J19" i="3"/>
  <c r="J20" i="3"/>
  <c r="J21" i="3"/>
  <c r="J22" i="3"/>
  <c r="J23" i="3"/>
  <c r="J25" i="3"/>
  <c r="J27" i="3"/>
  <c r="J28" i="3"/>
  <c r="J29" i="3"/>
  <c r="J32" i="3"/>
  <c r="J35" i="3"/>
  <c r="J37" i="3"/>
  <c r="I12" i="3"/>
  <c r="I13" i="3"/>
  <c r="I14" i="3"/>
  <c r="I15" i="3"/>
  <c r="I16" i="3"/>
  <c r="I17" i="3"/>
  <c r="I18" i="3"/>
  <c r="I19" i="3"/>
  <c r="I20" i="3"/>
  <c r="I21" i="3"/>
  <c r="I22" i="3"/>
  <c r="I23" i="3"/>
  <c r="I25" i="3"/>
  <c r="I27" i="3"/>
  <c r="I28" i="3"/>
  <c r="I29" i="3"/>
  <c r="I32" i="3"/>
  <c r="I35" i="3"/>
  <c r="I37" i="3"/>
  <c r="I10" i="3"/>
  <c r="J10" i="3"/>
  <c r="G12" i="3"/>
  <c r="G13" i="3"/>
  <c r="G14" i="3"/>
  <c r="G15" i="3"/>
  <c r="G16" i="3"/>
  <c r="G17" i="3"/>
  <c r="G18" i="3"/>
  <c r="G19" i="3"/>
  <c r="G20" i="3"/>
  <c r="G21" i="3"/>
  <c r="G22" i="3"/>
  <c r="G23" i="3"/>
  <c r="G25" i="3"/>
  <c r="G27" i="3"/>
  <c r="G28" i="3"/>
  <c r="G29" i="3"/>
  <c r="G32" i="3"/>
  <c r="G35" i="3"/>
  <c r="G37" i="3"/>
  <c r="F12" i="3"/>
  <c r="F13" i="3"/>
  <c r="F14" i="3"/>
  <c r="F15" i="3"/>
  <c r="F16" i="3"/>
  <c r="F17" i="3"/>
  <c r="F18" i="3"/>
  <c r="F19" i="3"/>
  <c r="F20" i="3"/>
  <c r="F21" i="3"/>
  <c r="F22" i="3"/>
  <c r="F23" i="3"/>
  <c r="F25" i="3"/>
  <c r="F27" i="3"/>
  <c r="F28" i="3"/>
  <c r="F29" i="3"/>
  <c r="F32" i="3"/>
  <c r="F35" i="3"/>
  <c r="F37" i="3"/>
  <c r="F10" i="3"/>
  <c r="G10" i="3"/>
  <c r="D3" i="5" l="1"/>
  <c r="D2" i="5"/>
  <c r="E3" i="4"/>
  <c r="E2" i="4"/>
  <c r="E3" i="3"/>
  <c r="E2" i="3"/>
  <c r="E3" i="2"/>
  <c r="E2" i="2"/>
</calcChain>
</file>

<file path=xl/sharedStrings.xml><?xml version="1.0" encoding="utf-8"?>
<sst xmlns="http://schemas.openxmlformats.org/spreadsheetml/2006/main" count="560" uniqueCount="303">
  <si>
    <t>Max</t>
  </si>
  <si>
    <t>Score</t>
  </si>
  <si>
    <t>RECOD YOUR ANSWER HERE</t>
  </si>
  <si>
    <t>Consolidated Statements of Cash Flows - USD ($) $ in Millions</t>
  </si>
  <si>
    <t>12 Months Ended</t>
  </si>
  <si>
    <t>Jan. 31, 2025</t>
  </si>
  <si>
    <t>Jan. 31, 2024</t>
  </si>
  <si>
    <t>Jan. 31, 2023</t>
  </si>
  <si>
    <t>Cash flows from operating activities:</t>
  </si>
  <si>
    <t> </t>
  </si>
  <si>
    <t>Consolidated net income</t>
  </si>
  <si>
    <t>Adjustments to reconcile consolidated net income to net cash provided by operating activities:</t>
  </si>
  <si>
    <t>Depreciation and amortization</t>
  </si>
  <si>
    <t>Investment (gains) and losses, net</t>
  </si>
  <si>
    <t>Deferred income taxes</t>
  </si>
  <si>
    <t>Other operating activities</t>
  </si>
  <si>
    <t>Changes in certain assets and liabilities, net of effects of acquisitions and dispositions:</t>
  </si>
  <si>
    <t>Receivables, net</t>
  </si>
  <si>
    <t>Inventories</t>
  </si>
  <si>
    <t>Accounts payable</t>
  </si>
  <si>
    <t>Accrued liabilities</t>
  </si>
  <si>
    <t>Accrued income taxes</t>
  </si>
  <si>
    <t>Net cash provided by operating activities</t>
  </si>
  <si>
    <t>Cash flows from investing activities:</t>
  </si>
  <si>
    <t>Payments for property and equipment</t>
  </si>
  <si>
    <t>Proceeds from the disposal of property and equipment</t>
  </si>
  <si>
    <t>Proceeds from disposal of certain strategic investments</t>
  </si>
  <si>
    <t>Payments for business acquisitions, net of cash acquired</t>
  </si>
  <si>
    <t>Other investing activities</t>
  </si>
  <si>
    <t>Net cash used in investing activities</t>
  </si>
  <si>
    <t>Cash flows from financing activities:</t>
  </si>
  <si>
    <t>Net change in short-term borrowings</t>
  </si>
  <si>
    <t>Proceeds from issuance of long-term debt</t>
  </si>
  <si>
    <t>Repayments of long-term debt</t>
  </si>
  <si>
    <t>Dividends paid</t>
  </si>
  <si>
    <t>Purchase of Company stock</t>
  </si>
  <si>
    <t>Dividends paid to noncontrolling interest</t>
  </si>
  <si>
    <t>Purchase of noncontrolling interest</t>
  </si>
  <si>
    <t>Sale of subsidiary stock</t>
  </si>
  <si>
    <t>Other financing activities</t>
  </si>
  <si>
    <t>Net cash used in financing activities</t>
  </si>
  <si>
    <t>Effect of exchange rates on cash, cash equivalents and restricted cash</t>
  </si>
  <si>
    <t>Net increase (decrease) in cash, cash equivalents and restricted cash</t>
  </si>
  <si>
    <t>Cash, cash equivalents and restricted cash at beginning of year</t>
  </si>
  <si>
    <t>Cash, cash equivalents and restricted cash at end of year</t>
  </si>
  <si>
    <t>Supplemental disclosure of cash flow information:</t>
  </si>
  <si>
    <t>Income taxes paid</t>
  </si>
  <si>
    <t>Interest paid</t>
  </si>
  <si>
    <r>
      <rPr>
        <b/>
        <sz val="14"/>
        <color theme="1"/>
        <rFont val="Calibri"/>
        <family val="2"/>
        <scheme val="minor"/>
      </rPr>
      <t xml:space="preserve">CASH FLOW FROM OPERATING ACTIVITIES
</t>
    </r>
    <r>
      <rPr>
        <sz val="14"/>
        <color theme="1"/>
        <rFont val="Calibri"/>
        <family val="2"/>
        <scheme val="minor"/>
      </rPr>
      <t xml:space="preserve">
Cash Flow from Operating Activities (CFOA) - Measures the net cash generated from or used by a company's primary activities of sales, receivables and suppliers' payments. Positive CFOA means that the company is creating enough liquidity from the day-to-day activities to cover expenses and reinvest to grow. Negative CFOA indicates that the company is not generating enough cash from operations and must use cash from outside financing and is increasing liquidity risk.
Applied to Walmart, CFOA was always positive in three years: 2023 - $28,841 million, 2024 - $35,726 million, and 2025 - $36,443 million. These are strong increasing numbers with a high increase of $6,885 million between 2023 and 2024 and a lower increase of $717 million the following year. The sharp growth in 2024 appears to be indicative of operational efficiency and demand strength while the moderation in 2025 is indicative of a stabilising phase. Overall, the positive CFOA indicates strong liquidity and operating strength at Walmart.
</t>
    </r>
    <r>
      <rPr>
        <b/>
        <sz val="14"/>
        <color theme="1"/>
        <rFont val="Calibri"/>
        <family val="2"/>
        <scheme val="minor"/>
      </rPr>
      <t xml:space="preserve">CASH FLOW FROM INVESTING ACTIVITIES
</t>
    </r>
    <r>
      <rPr>
        <sz val="14"/>
        <color theme="1"/>
        <rFont val="Calibri"/>
        <family val="2"/>
        <scheme val="minor"/>
      </rPr>
      <t xml:space="preserve">
Cash flow from investing activities (CFIA) The cash flows from investing activities include the inflows and outflows of cash associated with long-term investments, such as properties, equipment, acquisitions and securities. Positive CFIA indicates that the company is monetizing assets through divestitures or sales of assets, which may help in the short-term cash position but also may indicate under-investment. Negative CFIA indicates that the company is reinvesting heavily in long-term assets, with the result that it has less liquidity in the short-term but expresses confidence of future growth.
Applying to Walmart - CFIA was negative for 3 years: -$17,722 million in 2023, -$21,287 million in 2024, and -$21,379 million in 2025. The deeper outflow in 2024, which grows by $3,565m, points to the increase of reinvestment, probably into digital infrastructure, logistics and store expansion. In 2025, outflows were stabilized with a decrease of only $92 million, which seems to indicate a disciplined use of capital. Overall, the CFIA consistently negative for Walmart is indicative of a calculated approach to reinvest in the business to optimize long-term competitiveness at the expense of short-term liquidity.
</t>
    </r>
    <r>
      <rPr>
        <b/>
        <sz val="14"/>
        <color theme="1"/>
        <rFont val="Calibri"/>
        <family val="2"/>
        <scheme val="minor"/>
      </rPr>
      <t xml:space="preserve">CASH FLOW FROM FINANCING ACTIVITIES
</t>
    </r>
    <r>
      <rPr>
        <sz val="14"/>
        <color theme="1"/>
        <rFont val="Calibri"/>
        <family val="2"/>
        <scheme val="minor"/>
      </rPr>
      <t xml:space="preserve">
Cash Flow from financing activities (CFFA) is the cash inflows and cash outflows from debt, equity, dividends, and share repurchases. Positive CFFA indicates that the company is generating more cash than it is returning, and this can be done through either borrowings or equity issuance, which can have a positive effect on the liquidity of the company but also exposes it to greater financial risk. Negative CFFA indicates the company is paying back debt or buying back shares or paying dividends when it means the company is reducing liquidity, but this is often a sign of maturity and financial stability.
Applied to Walmart, CFFA was negative all the time: -$17,039 million in 2023, -$13,414 million in 2024, and -$14,822 million in 2025. This decrease of outflows in 2024 by $3,625 million indicates that Walmart saved on liquidity or decreased share buybacks and redemptions for its outflows for that year. Outflows grew once again by $1,408 million to 2025, as shareholders received distributions again. Overall, Walmart's negative CFFA points to disciplined debt management and consistent value returned for the investors, backed by strong operating cash flows.
</t>
    </r>
    <r>
      <rPr>
        <b/>
        <sz val="14"/>
        <color theme="1"/>
        <rFont val="Calibri"/>
        <family val="2"/>
        <scheme val="minor"/>
      </rPr>
      <t xml:space="preserve">CONCLUSION
</t>
    </r>
    <r>
      <rPr>
        <sz val="14"/>
        <color theme="1"/>
        <rFont val="Calibri"/>
        <family val="2"/>
        <scheme val="minor"/>
      </rPr>
      <t xml:space="preserve">
The cash flow dynamics of Walmart from 2023 to 2025 offer a-purposeful outlook of monetary soundness and deliberate planning. The company reported positive cash flow from operating activities (CFOA) throughout the forecast period, increasing from $28,841 million in 2023 to $36,443 million in 2025. This increasing trend reflects Walmart's efficient operations, high consumer demand, and well-managed supply chain, which will provide the cash flow required to support growth as well as reassure creditors and suppliers.
On the other hand, cash flow from investing activities (CFIA) of Walmart continued to be negative during the three years ending 2025 and ranged from -$17,722 million in 2023 to -$21,379 million in 2025. These continued outflows reflect the company's investment in long-term assets such as technology, infrastructure and store modernization. This commitment to equity is a long-term commitment and a signal of confidence in long-term liquidity, competitiveness and growth potential.
Finally, the cash flow from financing activities (CFFA) was also consistently negative for Walmart, which reflects dividends, share buybacks and debt repayment. Although this had an impact on cash reserves, it reflects the maturity of the company and prudence in returning value to shareholders.
All in all, Walmart's cash flow profile shows a balanced approach where the company generates great operational cash flow, strategically invests in future growth, and pays investors. Together, these efforts ensure that Walmart's resilience is in place and poised it for continued global retailing leadership.</t>
    </r>
  </si>
  <si>
    <t>CONSOLIDATED INCOME STATEMENT - USD ($) shares in Millions, $ in Millions</t>
  </si>
  <si>
    <t>Dec. 31, 2024</t>
  </si>
  <si>
    <t>Dec. 31, 2023</t>
  </si>
  <si>
    <t>Dec. 31, 2022</t>
  </si>
  <si>
    <t>Revenues</t>
  </si>
  <si>
    <t>Total revenues (Note 4)</t>
  </si>
  <si>
    <t>Costs and expenses</t>
  </si>
  <si>
    <t>Cost of sales</t>
  </si>
  <si>
    <t>Selling, administrative, and other expenses</t>
  </si>
  <si>
    <t>Total costs and expenses</t>
  </si>
  <si>
    <t>Operating income/(loss)</t>
  </si>
  <si>
    <t>Interest Expense, Other</t>
  </si>
  <si>
    <t>Other income/(loss), net (Note 5)</t>
  </si>
  <si>
    <t>Equity in net income/(loss) of affiliated companies (Note 14)</t>
  </si>
  <si>
    <t>Income/(Loss) before income taxes</t>
  </si>
  <si>
    <t>Provision for/(Benefit from) income taxes (Note 7)</t>
  </si>
  <si>
    <t>Net income/(loss)</t>
  </si>
  <si>
    <t>Less: Income/(Loss) attributable to noncontrolling interests</t>
  </si>
  <si>
    <t>Net income/(loss) attributable to Ford Motor Company</t>
  </si>
  <si>
    <t>Basic income</t>
  </si>
  <si>
    <t>Basic income (in dollars per share)</t>
  </si>
  <si>
    <t>Diluted income</t>
  </si>
  <si>
    <t>Diluted income (in dollars per share)</t>
  </si>
  <si>
    <t>Basic shares (average shares outstanding)</t>
  </si>
  <si>
    <t>Diluted shares</t>
  </si>
  <si>
    <t>Company excluding Ford Credit</t>
  </si>
  <si>
    <t>Ford Credit</t>
  </si>
  <si>
    <t>Ford Credit interest, operating, and other expenses</t>
  </si>
  <si>
    <t>CONSOLIDATED BALANCE SHEET - USD ($) shares in Millions, $ in Millions</t>
  </si>
  <si>
    <t>Assets, Current [Abstract]</t>
  </si>
  <si>
    <t>Cash and cash equivalents</t>
  </si>
  <si>
    <t>Marketable securities (Note 9)</t>
  </si>
  <si>
    <t>Financing Receivable, after Allowance for Credit Loss, Current</t>
  </si>
  <si>
    <t>Trade and other receivables, less allowances of $64 and $84</t>
  </si>
  <si>
    <t>Inventories (Note 11)</t>
  </si>
  <si>
    <t>Other Assets, Current</t>
  </si>
  <si>
    <t>Total current assets</t>
  </si>
  <si>
    <t>Assets, Noncurrent [Abstract]</t>
  </si>
  <si>
    <t>Financing Receivable, after Allowance for Credit Loss, Noncurrent</t>
  </si>
  <si>
    <t>Net investment in operating leases</t>
  </si>
  <si>
    <t>Net property (Note 13)</t>
  </si>
  <si>
    <t>Equity in net assets of affiliated companies (Note 14)</t>
  </si>
  <si>
    <t>Deferred Income Tax Assets, Net</t>
  </si>
  <si>
    <t>Other Assets, Noncurrent</t>
  </si>
  <si>
    <t>Total assets</t>
  </si>
  <si>
    <t>Liabilities, Current [Abstract]</t>
  </si>
  <si>
    <t>Payables</t>
  </si>
  <si>
    <t>Other liabilities and deferred revenue (Note 15 and Note 24)</t>
  </si>
  <si>
    <t>Total current liabilities</t>
  </si>
  <si>
    <t>Liabilities, Noncurrent [Abstract]</t>
  </si>
  <si>
    <t>Total liabilities</t>
  </si>
  <si>
    <t>EQUITY</t>
  </si>
  <si>
    <t>Capital in excess of par value of stock</t>
  </si>
  <si>
    <t>Retained earnings</t>
  </si>
  <si>
    <t>Accumulated other comprehensive income/(loss) (Note 22)</t>
  </si>
  <si>
    <t>Treasury stock</t>
  </si>
  <si>
    <t>Total equity attributable to Ford Motor Company</t>
  </si>
  <si>
    <t>Equity attributable to noncontrolling interests</t>
  </si>
  <si>
    <t>Total equity</t>
  </si>
  <si>
    <t>Total liabilities and equity</t>
  </si>
  <si>
    <t>HORIZONTAL ANALYSIS</t>
  </si>
  <si>
    <t>2023-2022</t>
  </si>
  <si>
    <t>2024-2023</t>
  </si>
  <si>
    <t>VERTICAL ANALYSIS</t>
  </si>
  <si>
    <t>Vertical Analysis</t>
  </si>
  <si>
    <t>%</t>
  </si>
  <si>
    <t>2024-23</t>
  </si>
  <si>
    <r>
      <rPr>
        <b/>
        <sz val="14"/>
        <color theme="1"/>
        <rFont val="Calibri"/>
        <family val="2"/>
        <scheme val="minor"/>
      </rPr>
      <t>Balance Sheet Horizontal and Vertical Analysis</t>
    </r>
    <r>
      <rPr>
        <sz val="14"/>
        <color theme="1"/>
        <rFont val="Calibri"/>
        <family val="2"/>
        <scheme val="minor"/>
      </rPr>
      <t xml:space="preserve">
The total assets increased by 4.3 percent with a 2023 total of 273.3 billion increasing to 285.2 billion of 2024. The current assets growth was small, only +2.5% whereas cash, receivables and inventories decreased by 7.8, 5.6 and 4.5% respectively but the financing receivables and other assets grew by 11.7 and 11.3 percent respectively. The non-current assets increased by 7.4 per cent with the increase in the financing receivables, operating leases and affiliate investments.
Liabilities rose 4.3% to 240.3 billion and current liabilities rose 5.3 percent in spite of a decline in payables. Liabilities still constitute approximately 84% of total financing which still proves that Ford is highly dependent on debt. Equity increased 4.8 percent to include both retained earnings and accumulated losses, which became wider. Equity will stand at the same level of approximately 16 per cent of financing, with slight improvement but continuing leverage.
</t>
    </r>
    <r>
      <rPr>
        <b/>
        <sz val="14"/>
        <color theme="1"/>
        <rFont val="Calibri"/>
        <family val="2"/>
        <scheme val="minor"/>
      </rPr>
      <t>Conclusion</t>
    </r>
    <r>
      <rPr>
        <sz val="14"/>
        <color theme="1"/>
        <rFont val="Calibri"/>
        <family val="2"/>
        <scheme val="minor"/>
      </rPr>
      <t xml:space="preserve">
The balance sheet of Ford shows a steady increase with a slight positive change in working capital management. Nevertheless, liabilities are still prevailing as they constitute approximately 84 percent of total financing, which points to the continued dependence on debt of the company. The growth in the equity, which was primarily due to the retained earnings, is a good indicator, though, it is still rather small in comparison with the magnitude of obligations. This small equity base coupled with increasing accumulated losses is an indication that the capital structure of Ford is still highly leveraged. In the future, the financial flexibility of the company will be determined by the capacity to create continued operating cash flows and eventually decrease reliance on external borrowing.</t>
    </r>
  </si>
  <si>
    <r>
      <rPr>
        <b/>
        <sz val="14"/>
        <color theme="1"/>
        <rFont val="Calibri"/>
        <family val="2"/>
        <scheme val="minor"/>
      </rPr>
      <t>Income Statement Horizontal and Vertical Analysis.</t>
    </r>
    <r>
      <rPr>
        <sz val="14"/>
        <color theme="1"/>
        <rFont val="Calibri"/>
        <family val="2"/>
        <scheme val="minor"/>
      </rPr>
      <t xml:space="preserve">
Based on the income statement, total revenues of Ford have grown by 17% since 2022, making it more than 158.1 billion to 184.9 billion. Horizontal analysis indicates that revenue increased at a strong rate of 11.5 in 2023 and then the rate decreases to 5% in 2024. Whit vertical perspective, the base is made of revenues (100) to strike against costs and expenses.
The cost of sales was also raised, and it was 134.4 billion in 2022 and 158.4 billion in 2024, changing in a general direction along with revenue. Cost of sales were stable at around 85% sales in the three years. This means that Ford managed to maintain gross margins even when there was an inflationary pressures in raw materials and supply chains. The selling, administrative, and other costs experienced a minor drop in 2024, with a slight reduction in the value of the costs, revising down to 10.3 billion compared to 2022 where the administrative costs were 10.9 billion (as percentage of sales improved).
The operating income decreased slightly as it was 6.3 billion in 2022 and 5.2 billion in 2024. Vertical analysis indicates that margins have been decreasing to 2.8% down to 4.0%, which indicates that they are under continuous pressure on costs. The interest expense did not change in absolute terms (ranged between 1.1-1.3 billion) although it declined in relation to sales (0.8% in 2022 to 0.6% in 2024), indicating a slight change of the financing cost-effectiveness.
The other income varied considerably, going down to a 5.2 Billion loss in 2022 and up to 2.5 Billion gain in 2024. This, combined with stable income of equities in affiliates, helped achieve a significant turnaround in the pre-tax performance. Income before tax increased to a loss of 3.0billion to a profit of 7.2billion in 2022 and 2024 respectively.
Attributable net income at Ford increased significantly with a loss of 2.0 billion to profit of 5.9 billion between 2022 and 2024. Earnings per share also had a similar pattern that saw it fall to -0.49 in 2022 and increase to 1.48 in 2024. Horizontal analysis also reveals that net income increased 36 percent between 2023 and 2024 and vertical shows that the net margin is better in 2024 at 3.2 percent than that of 2022 at -1.3 percent.
</t>
    </r>
    <r>
      <rPr>
        <b/>
        <sz val="14"/>
        <color theme="1"/>
        <rFont val="Calibri"/>
        <family val="2"/>
        <scheme val="minor"/>
      </rPr>
      <t>Conclusion</t>
    </r>
    <r>
      <rPr>
        <sz val="14"/>
        <color theme="1"/>
        <rFont val="Calibri"/>
        <family val="2"/>
        <scheme val="minor"/>
      </rPr>
      <t xml:space="preserve">
According to the HA and VA analysis, Ford has gone back to the losses in 2022 to profitability in 2024. The revenues are increasing in a steady fashion, cost of sales are not increasing sharply as a rate of sale and operating expenses are lower compared to the turnover. The operating income has been weakening, whereas other income and affiliate contributions have been enhancing pre-tax and net results. In general, the income statement of Ford indicates a better performance in terms of efficiency and brought back the profitability trend, still the margins are low in comparison to industry leaders.</t>
    </r>
  </si>
  <si>
    <t>CONSOLIDATED BALANCE SHEETS - USD ($) $ in Millions</t>
  </si>
  <si>
    <t>Current assets:</t>
  </si>
  <si>
    <t>Marketable securities</t>
  </si>
  <si>
    <t>Total cash, cash equivalents, and marketable securities</t>
  </si>
  <si>
    <t>Accounts receivable, net</t>
  </si>
  <si>
    <t>Other current assets</t>
  </si>
  <si>
    <t>Non-marketable securities</t>
  </si>
  <si>
    <t>Property and equipment, net</t>
  </si>
  <si>
    <t>Operating lease assets</t>
  </si>
  <si>
    <t>Goodwill</t>
  </si>
  <si>
    <t>Other non-current assets</t>
  </si>
  <si>
    <t>Current liabilities:</t>
  </si>
  <si>
    <t>Accrued compensation and benefits</t>
  </si>
  <si>
    <t>Accrued expenses and other current liabilities</t>
  </si>
  <si>
    <t>Accrued revenue share</t>
  </si>
  <si>
    <t>Deferred revenue</t>
  </si>
  <si>
    <t>Long-term debt</t>
  </si>
  <si>
    <t>Income taxes payable, non-current</t>
  </si>
  <si>
    <t>Operating lease liabilities</t>
  </si>
  <si>
    <t>Other long-term liabilities</t>
  </si>
  <si>
    <t>Commitments and Contingencies (Note 10)</t>
  </si>
  <si>
    <t xml:space="preserve"> </t>
  </si>
  <si>
    <t>Stockholders’ equity:</t>
  </si>
  <si>
    <t>Preferred stock, $0.001 par value per share, 100 shares authorized; no shares issued and outstanding</t>
  </si>
  <si>
    <t>Class A, Class B, and Class C stock and additional paid-in capital, $0.001 par value per share: 300,000 shares authorized (Class A 180,000, Class B 60,000, Class C 60,000); 12,460 (Class A 5,899, Class B 870, Class C 5,691) and 12,211 (Class A 5,835, Class B 861, Class C 5,515) shares issued and outstanding</t>
  </si>
  <si>
    <t>Accumulated other comprehensive income (loss)</t>
  </si>
  <si>
    <t>Total stockholders’ equity</t>
  </si>
  <si>
    <t>Total liabilities and stockholders’ equity</t>
  </si>
  <si>
    <t>CONSOLIDATED STATEMENTS OF INCOME - USD ($) $ in Millions</t>
  </si>
  <si>
    <t>Income Statement [Abstract]</t>
  </si>
  <si>
    <t>Costs and expenses:</t>
  </si>
  <si>
    <t>Cost of revenues</t>
  </si>
  <si>
    <t>Research and development</t>
  </si>
  <si>
    <t>Sales and marketing</t>
  </si>
  <si>
    <t>General and administrative</t>
  </si>
  <si>
    <t>Income from operations</t>
  </si>
  <si>
    <t>Other income (expense), net</t>
  </si>
  <si>
    <t>Income before income taxes</t>
  </si>
  <si>
    <t>Provision for income taxes</t>
  </si>
  <si>
    <t>Net income</t>
  </si>
  <si>
    <t>Basic net income per share (in dollars per share)</t>
  </si>
  <si>
    <t>Diluted net income per share (in dollars per share)</t>
  </si>
  <si>
    <t>CONSOLIDATED STATEMENTS OF CASH FLOWS - USD ($) $ in Millions</t>
  </si>
  <si>
    <t>Operating activities</t>
  </si>
  <si>
    <t>Adjustments:</t>
  </si>
  <si>
    <t>Depreciation of property and equipment</t>
  </si>
  <si>
    <t>Stock-based compensation expense</t>
  </si>
  <si>
    <t>Loss (gain) on debt and equity securities, net</t>
  </si>
  <si>
    <t>Other</t>
  </si>
  <si>
    <t>Changes in assets and liabilities, net of effects of acquisitions:</t>
  </si>
  <si>
    <t>Income taxes, net</t>
  </si>
  <si>
    <t>Other assets</t>
  </si>
  <si>
    <t>Accrued expenses and other liabilities</t>
  </si>
  <si>
    <t>Investing activities</t>
  </si>
  <si>
    <t>Purchases of property and equipment</t>
  </si>
  <si>
    <t>Purchases of marketable securities</t>
  </si>
  <si>
    <t>Maturities and sales of marketable securities</t>
  </si>
  <si>
    <t>Purchases of non-marketable securities</t>
  </si>
  <si>
    <t>Maturities and sales of non-marketable securities</t>
  </si>
  <si>
    <t>Acquisitions, net of cash acquired, and purchases of intangible assets</t>
  </si>
  <si>
    <t>Financing activities</t>
  </si>
  <si>
    <t>Net payments related to stock-based award activities</t>
  </si>
  <si>
    <t>Repurchases of stock</t>
  </si>
  <si>
    <t>Dividend payments</t>
  </si>
  <si>
    <t>Proceeds from issuance of debt, net of costs</t>
  </si>
  <si>
    <t>Repayments of debt</t>
  </si>
  <si>
    <t>Proceeds from sale of interest in consolidated entities, net</t>
  </si>
  <si>
    <t>Effect of exchange rate changes on cash and cash equivalents</t>
  </si>
  <si>
    <t>Net increase (decrease) in cash and cash equivalents</t>
  </si>
  <si>
    <t>Cash and cash equivalents at beginning of period</t>
  </si>
  <si>
    <t>Cash and cash equivalents at end of period</t>
  </si>
  <si>
    <t>PROFITABILITY RATIO</t>
  </si>
  <si>
    <t>GROSS PROFIT</t>
  </si>
  <si>
    <t>a</t>
  </si>
  <si>
    <t>b</t>
  </si>
  <si>
    <t>a/b</t>
  </si>
  <si>
    <t>GROSS PROFIT MARGIN</t>
  </si>
  <si>
    <t>OPERATING PROFIT MARGIN</t>
  </si>
  <si>
    <t>LIQUIDITY RATIO</t>
  </si>
  <si>
    <t>CURRENT RATIO</t>
  </si>
  <si>
    <t>CASH RATIO</t>
  </si>
  <si>
    <t>c</t>
  </si>
  <si>
    <t>(a+b)/c</t>
  </si>
  <si>
    <t>EFFICIENCY RATIO</t>
  </si>
  <si>
    <t>AR / DEBTOR COLLECTION DAYS</t>
  </si>
  <si>
    <t>(a*365)/b</t>
  </si>
  <si>
    <t>ASSET TURNOVER RATIO</t>
  </si>
  <si>
    <t>GEARING LEVERAGE OR SOLVENCY RATIO</t>
  </si>
  <si>
    <t>LIABILITY TO ASSET RATIO</t>
  </si>
  <si>
    <t>EQUITY TO ASSET RATIO</t>
  </si>
  <si>
    <t>INVESTMENT RATIO</t>
  </si>
  <si>
    <t>RETURN ON OWNERS EQUITY (ROOE)</t>
  </si>
  <si>
    <t>RETURN ON TOTAL ASSETS (ROTA)</t>
  </si>
  <si>
    <t>CASH MANAGEMENT RATIO</t>
  </si>
  <si>
    <t>CFOA TO SALES</t>
  </si>
  <si>
    <t>CFOA TO NET INCOME OR PROFIT</t>
  </si>
  <si>
    <r>
      <rPr>
        <b/>
        <sz val="12"/>
        <color theme="1"/>
        <rFont val="Calibri"/>
        <family val="2"/>
        <scheme val="minor"/>
      </rPr>
      <t>Profitability Ratios</t>
    </r>
    <r>
      <rPr>
        <sz val="12"/>
        <color theme="1"/>
        <rFont val="Calibri"/>
        <family val="2"/>
        <scheme val="minor"/>
      </rPr>
      <t xml:space="preserve">
1.1 Gross Profit Margin
This ratio indicates the ratio between gross profit and revenue. In the years 2022, 2023 and 2024, the gross profit margin of Alphabet was 55.38 percent, 56.63 percent and 58.20 percent, respectively. Its gradual growth is a good development, since it shows more control over the cost of revenues and better pricing. This not only helps the management to demonstrate efficiency in its operations but also shareholders since it helps increase returns.
1.2 Operating Profit Margin
This ratio is a ratio which gives the operating profit in terms of percentage of revenue. In 2022, 2023 and 2024, Alphabet reported 26.46%, 27.42% and 32.11%. The change is high and positive as it is precipitated by increased revenues and managed operating costs. It shows increased efficiency in operations and this is good to the investors as well as to the managers.</t>
    </r>
  </si>
  <si>
    <r>
      <rPr>
        <b/>
        <sz val="12"/>
        <color theme="1"/>
        <rFont val="Calibri"/>
        <family val="2"/>
        <scheme val="minor"/>
      </rPr>
      <t>Efficiency Ratios</t>
    </r>
    <r>
      <rPr>
        <sz val="12"/>
        <color theme="1"/>
        <rFont val="Calibri"/>
        <family val="2"/>
        <scheme val="minor"/>
      </rPr>
      <t xml:space="preserve">
3.1 Accounts Receivable Days
This ratio indicates the number of days to receive receivables. Receivable days decreased marginally with the company experiencing a 56.95 days in the year 2023 to 54.58 days in 2024. The reduction is desirable and collections are observed to be growing along with better credit control. This helps in maintaining stability of the cash flow.
3.2 Asset Turnover Ratio
The ratio is used to determine sales per dollar of assets. The turnover at Alphabet also improved 0.76 in 2024 to 0.78 in 2023. This is positive and shows improvement in better allocation of assets to create revenues.</t>
    </r>
  </si>
  <si>
    <r>
      <rPr>
        <b/>
        <sz val="12"/>
        <color theme="1"/>
        <rFont val="Calibri"/>
        <family val="2"/>
        <scheme val="minor"/>
      </rPr>
      <t>Investment Ratios</t>
    </r>
    <r>
      <rPr>
        <sz val="12"/>
        <color theme="1"/>
        <rFont val="Calibri"/>
        <family val="2"/>
        <scheme val="minor"/>
      </rPr>
      <t xml:space="preserve">
5.1 Return on Equity (ROE)
This ratio is used to determine the amount of returns earned on the shareholder equity. In 2024, Alphabet experienced a high ROE of 30.80 as compared to 26.04 in 2023. This tremendous growth is positive and a good indicator of increased value creation to shareholders.
5.2 Return on Total Assets (ROTA)
This ratio compares the income before taxes as compared to the total assets. The ROTA of Alphabet grew to 26.61% in 2024 compared to 21.30% in 2023. The increase is good and indicates a better utilization of the companies resources to make profits.</t>
    </r>
  </si>
  <si>
    <r>
      <rPr>
        <b/>
        <sz val="11"/>
        <color theme="1"/>
        <rFont val="Calibri"/>
        <family val="2"/>
        <scheme val="minor"/>
      </rPr>
      <t>Overall Interpretation</t>
    </r>
    <r>
      <rPr>
        <sz val="11"/>
        <color theme="1"/>
        <rFont val="Calibri"/>
        <family val="2"/>
        <scheme val="minor"/>
      </rPr>
      <t xml:space="preserve">
Alphabet shows good performance in all the ratios. Profitability has continued to be on an upward trend, liquidity is at an extremely strong position, efficiency has been enhanced and solvency presents a capital structure that has a high proportion of equity. The level of investment returns (ROE and ROTA) rose considerably, which indicates better value creation, and the cash flow ratios indicate high quality earnings even after a slight decline. Altogether, Alphabet is a financially powerful, efficient, and is ready for long-term growth.</t>
    </r>
  </si>
  <si>
    <r>
      <rPr>
        <b/>
        <sz val="12"/>
        <color theme="1"/>
        <rFont val="Calibri"/>
        <family val="2"/>
        <scheme val="minor"/>
      </rPr>
      <t>Liquidity Ratios</t>
    </r>
    <r>
      <rPr>
        <sz val="12"/>
        <color theme="1"/>
        <rFont val="Calibri"/>
        <family val="2"/>
        <scheme val="minor"/>
      </rPr>
      <t xml:space="preserve">
2.1 Current Ratio
This ratio determines whether the current liabilities are met by the current assets. The current ratio of Alphabet decreased to 183.69 percent in 2024 as compared to 209.66 percent in 2023. These high amounts are favorable as they indicate that Alphabet possesses more than adequate current assets to fulfill obligations. This measure is most likely to be of interest to the creditors and financial managers.
2.2 Cash Ratio
The ratio is a measure of the cash and marketing securities capacity to pay liabilities. The ratio of Alphabet dropped to 76.42% in 2024, which is not a good trend, but still very good. The downward trend implies that cash is being redeployed in other areas of investments, although there is a lot of liquidity.</t>
    </r>
  </si>
  <si>
    <r>
      <rPr>
        <b/>
        <sz val="12"/>
        <color theme="1"/>
        <rFont val="Calibri"/>
        <family val="2"/>
        <scheme val="minor"/>
      </rPr>
      <t>Solvency Ratios</t>
    </r>
    <r>
      <rPr>
        <sz val="12"/>
        <color theme="1"/>
        <rFont val="Calibri"/>
        <family val="2"/>
        <scheme val="minor"/>
      </rPr>
      <t xml:space="preserve">
4.1 Liability-to-Asset Ratio
This shows the ratio of the assets that are funded by the liabilities. In 2024, the leverage of Alphabet declined to 27.80% as compared to 29.58% in the year 2023. The down turn is positive, with less dependence on debt and increased solvency. This lowers credit risk by creditors.
4.2 Equity-to-Asset Ratio
It is a ratio of the level of assets that are financed by equity. In 2023, Alphabet was doing 70.42 percent and in 2024, 72.20 percent. The high level of stability is good that makes it dominate by equity capital structure benefiting the share holders and creditors.</t>
    </r>
  </si>
  <si>
    <r>
      <rPr>
        <b/>
        <sz val="12"/>
        <color theme="1"/>
        <rFont val="Calibri"/>
        <family val="2"/>
        <scheme val="minor"/>
      </rPr>
      <t>Cash Management Ratios</t>
    </r>
    <r>
      <rPr>
        <sz val="12"/>
        <color theme="1"/>
        <rFont val="Calibri"/>
        <family val="2"/>
        <scheme val="minor"/>
      </rPr>
      <t xml:space="preserve">
6.1 CFOA to Sales
The ratio is used to estimate the ratio of cash flow generated by operations to sales. In 2022, 2023 and 2024, Alphabet had a ratio of 32.35%, 33.10% and 35.80% respectively. This constant growth is also positive indicating that there is high cash generation compared to revenues.
6.2 CFOA to Net Income
This ratio represents the strength of cash flow standing the net income. In 2022, Alphabet has gone down to 152.56% and then in 2023, down to 125.15%. This is a bad trend, but still, it is above 100 percentage, which is also good since it shows that net income is highly supported by cash flows.</t>
    </r>
  </si>
  <si>
    <t>Income tax expense</t>
  </si>
  <si>
    <t>Margin ratios</t>
  </si>
  <si>
    <t>US$'000</t>
  </si>
  <si>
    <t>Ratio</t>
  </si>
  <si>
    <t>ROOE</t>
  </si>
  <si>
    <t>Margin</t>
  </si>
  <si>
    <t>Turnover</t>
  </si>
  <si>
    <t>Gearing</t>
  </si>
  <si>
    <t>DETAILS</t>
  </si>
  <si>
    <t>d</t>
  </si>
  <si>
    <t>b/a</t>
  </si>
  <si>
    <t>c/a</t>
  </si>
  <si>
    <t>e</t>
  </si>
  <si>
    <t>a/c</t>
  </si>
  <si>
    <t>a/d</t>
  </si>
  <si>
    <t>a/e</t>
  </si>
  <si>
    <t>f</t>
  </si>
  <si>
    <t>g</t>
  </si>
  <si>
    <t>Rev. to Prop, plant and equip.</t>
  </si>
  <si>
    <t>Rev. to tot. current assets</t>
  </si>
  <si>
    <t>Rev. to prepaid exp.</t>
  </si>
  <si>
    <t>a/f</t>
  </si>
  <si>
    <t>a/g</t>
  </si>
  <si>
    <t>Turnover ratios</t>
  </si>
  <si>
    <t>Leverage ratio</t>
  </si>
  <si>
    <t>May 31, 2025</t>
  </si>
  <si>
    <t>May 31, 2024</t>
  </si>
  <si>
    <t>Cash and equivalents</t>
  </si>
  <si>
    <t>Short-term investments</t>
  </si>
  <si>
    <t>Prepaid expenses and other current assets</t>
  </si>
  <si>
    <t>Property, plant and equipment, net</t>
  </si>
  <si>
    <t>Operating lease right-of-use assets, net</t>
  </si>
  <si>
    <t>Identifiable intangible assets, net</t>
  </si>
  <si>
    <t>Deferred income taxes and other assets</t>
  </si>
  <si>
    <t>TOTAL ASSETS</t>
  </si>
  <si>
    <t>Current portion of long-term debt</t>
  </si>
  <si>
    <t>Notes payable</t>
  </si>
  <si>
    <t>Current portion of operating lease liabilities</t>
  </si>
  <si>
    <t>Income taxes payable</t>
  </si>
  <si>
    <t>Deferred income taxes and other liabilities</t>
  </si>
  <si>
    <t>Commitments and contingencies (Note 16)</t>
  </si>
  <si>
    <t>Redeemable preferred stock</t>
  </si>
  <si>
    <t>Shareholders' equity:</t>
  </si>
  <si>
    <t>Capital in excess of stated value</t>
  </si>
  <si>
    <t>Retained earnings (deficit)</t>
  </si>
  <si>
    <t>Total shareholders' equity</t>
  </si>
  <si>
    <t>TOTAL LIABILITIES AND SHAREHOLDERS' EQUITY</t>
  </si>
  <si>
    <t>Class A Convertible Common Stock</t>
  </si>
  <si>
    <t>Common stock at stated value</t>
  </si>
  <si>
    <t>Class B Common Stock</t>
  </si>
  <si>
    <t xml:space="preserve">NIKE : CONSOLIDATED STATEMENTS OF INCOME </t>
  </si>
  <si>
    <t>May 31, 2023</t>
  </si>
  <si>
    <t>US $m</t>
  </si>
  <si>
    <t>Gross profit</t>
  </si>
  <si>
    <t>Demand creation expense</t>
  </si>
  <si>
    <t>Operating overhead expense</t>
  </si>
  <si>
    <t>Total selling and administrative expense</t>
  </si>
  <si>
    <t>Interest expense (income), net</t>
  </si>
  <si>
    <t>Other (income) expense, net</t>
  </si>
  <si>
    <t>NET INCOME</t>
  </si>
  <si>
    <t>Earnings per common share:</t>
  </si>
  <si>
    <t>Basic (in dollars per share)</t>
  </si>
  <si>
    <t>Diluted (in dollars per share)</t>
  </si>
  <si>
    <t>Weighted average common shares outstanding:</t>
  </si>
  <si>
    <t>Basic (in shares)</t>
  </si>
  <si>
    <t>Diluted (in shares)</t>
  </si>
  <si>
    <t>TOTAL NCA</t>
  </si>
  <si>
    <t>h</t>
  </si>
  <si>
    <t>Rev. to Tot. NCA</t>
  </si>
  <si>
    <t>Rev. to oth. asset and deferred income</t>
  </si>
  <si>
    <t>a/h</t>
  </si>
  <si>
    <t xml:space="preserve">Rev. to AR, net </t>
  </si>
  <si>
    <t>Rev. to cash and equivalents</t>
  </si>
  <si>
    <t>NIKE – DU PONT ANALYSIS</t>
  </si>
  <si>
    <r>
      <rPr>
        <b/>
        <sz val="12"/>
        <color theme="1"/>
        <rFont val="Calibri"/>
        <family val="2"/>
        <scheme val="minor"/>
      </rPr>
      <t>ROOE</t>
    </r>
    <r>
      <rPr>
        <sz val="11"/>
        <color theme="1"/>
        <rFont val="Calibri"/>
        <family val="2"/>
        <scheme val="minor"/>
      </rPr>
      <t xml:space="preserve">
Nike Return on Owner Equity (ROOE) indicates that the profitability of the company significantly decreases in the period of May 2024 and May 2025 showing the profitability drop by 39.50 percent to 24.36 percent. This is a decline of over 15 percentage points which is substantial given the size and status of the market of Nike as a company. The decline is an indicator of a severe fall in net income from $ 5700 in 2024 to $3219 in 2025, a 43.5% decline. Whereas equity in the same year declined as well, but by a narrower amount of between 14,430 million in 2024 to 13,213 million in 2025, the decline in profitability was much greater than the shrinkage of equity. It means that the shareholders received 24 cents on every dollar of equity invested in 2025 in contrast to almost 40 cents earned the year before.
The meaning of such a depreciation is far-reaching. ROOE is a combination of profitability, efficiency, and leverage. Such a decrease indicates that the financial power of the Nike company has diminished, not only because of the pressure of the margin, but also because the efficiency and leverage gains have not been sufficient to compensate the decline in earnings. This would be taken by the investors as a reduction on the ability of Nike to create value on its equity base, which would ultimately impact the market confidence, dividend policy, and the overall performance of the share prices. Although Nike is still profitable, the decrease in ROOE is an indicator that the management should be more aggressive in control of costs, and usage of assets.						
												</t>
    </r>
  </si>
  <si>
    <r>
      <rPr>
        <b/>
        <sz val="12"/>
        <color theme="1"/>
        <rFont val="Calibri"/>
        <family val="2"/>
        <scheme val="minor"/>
      </rPr>
      <t>Turnover Ratios</t>
    </r>
    <r>
      <rPr>
        <sz val="11"/>
        <color theme="1"/>
        <rFont val="Calibri"/>
        <family val="2"/>
        <scheme val="minor"/>
      </rPr>
      <t xml:space="preserve">
Turnover ratios reflect the effectiveness of Nike in using its assets to turn them into revenue. The total asset turnover ratio decreased to 1.27 in 2025 as opposed to 1.35 in 2024 indicating that Nike only collected less sales on the dollar of assets than it collected in the previous year. This implies a deterioration in the efficiency of operations.
In the break down, revenue to total non-current asset went down to 4.04 times in 2024 to 3.50 times in 2025. This implies that long term assets like intangible assets, property, plant and equipment are not being utilized as efficiently as they were before in order to drive the sales. Equally, revenue to property, plant and equipment reduced to 10.27 to 9.59 reflecting lower use of physical infrastructure. Although the fall is slight, it is an indication that Nike is perhaps holding unused facilities or it could be the case that its asset base has grown more rapidly than its capacity to convert the asset into sales.
The short-term asset efficiency is a bit poor as the ratio of revenue to total current assets fell to 1.98 compared to 2.02. The revenue to cash and cash equivalents increased  from 5.20 in 2024 to 6.20 in the year 2025. This was necessitated by a decline in cash balances of 9860 million to 7464 million, as well as the reduction in revenues. Although high cash balances usually minimize efficiency, the decrease here implies that liquidity is being maintained but not converted successfully into revenue growth.
The turnover to the accounts receivable was slightly better showing an increase of 11.60 to 9.82, which is a fairly good efficiency in terms of the collection, yet lower than the previous year. Prepaid expenses on the other hand became inefficient as revenue to prepaid expenses decreased to 23.10. This implies increased advance payments or increased pre-operative costs not directly related to the impact of sales.
Overall, the turnover ratios of Nike show a decreasing efficiency in the vast majority of assets. The profitability decreases, which is worsened by the weaker turning over of assets, the reason of the fall in the ROOE. Nike need to either enhance sales growth or purify its utilization of assets so as to recuperate its efficiency.</t>
    </r>
  </si>
  <si>
    <r>
      <rPr>
        <b/>
        <sz val="12"/>
        <color theme="1"/>
        <rFont val="Calibri"/>
        <family val="2"/>
        <scheme val="minor"/>
      </rPr>
      <t>Margin Ratios</t>
    </r>
    <r>
      <rPr>
        <sz val="11"/>
        <color theme="1"/>
        <rFont val="Calibri"/>
        <family val="2"/>
        <scheme val="minor"/>
      </rPr>
      <t xml:space="preserve">
The net income to revenue ratio decreased to 6.95 percent in 2025 against 11.10 percent in 2024, which means that every dollar earned in sales brought Nike 7 cents of net profit, which is 11 cents less than it brought the year before. This was a significant decrease which was primarily as a result of the decreased net income mentioned above.
The revenues themselves decreased slightly, by 9.8 per cent, to 51,362 million in 2024 and 46,309 million in 2025. Nevertheless, the more noticeable decline in profitability compared to revenue shows that Nike had to deal with cost pressure in several aspects. Cost of Sales went down by a factor of 28,475 million to sales of 26,519 million, although the decrease was relatively small in relation to the decrease in revenue this pushed the cost-to-revenue ratio up to 57.27 compared to 55.44. This implies that Nike had to invest extra on production and sourcing with regards to every dollar of revenue, eclipsing the gross margins.
Selling and administrative costs also stubbornly stuck at 16, 088 million in 2025 as opposed to 16, 576 million in 2024. Although the absolute value decreased marginally, its share of revenue increased in fact to 34.74% after it was 32.27%. This indicates increased spending on advertising, promotion and distribution channels or inefficiencies in the overheads and management. In the case of a brand such as Nike which depends largely on brand exposure and marketing spending, the increase in selling and administration expenses are unsurprising but the lack of ability to reduce this cost accordingly with revenue is alarming.
Generally, the performance of the margin at Nike indicates that the company is losing its profitability due to the increasing cost of sales and the incurred constant operating expenses. The net margins have been drawn to single figures as a result of the combined pressure and shareholder returns have to be considerably decreased. These cost pressures would limit Nike to invest in product innovation and market expansion unless it addresses the issue.</t>
    </r>
  </si>
  <si>
    <r>
      <rPr>
        <b/>
        <sz val="12"/>
        <color theme="1"/>
        <rFont val="Calibri"/>
        <family val="2"/>
        <scheme val="minor"/>
      </rPr>
      <t>Gearing Ratio</t>
    </r>
    <r>
      <rPr>
        <sz val="11"/>
        <color theme="1"/>
        <rFont val="Calibri"/>
        <family val="2"/>
        <scheme val="minor"/>
      </rPr>
      <t xml:space="preserve">
Gearing ratio, which is the ratio of total assets to the equity of the shareholders, slightly rose to 2.77 in 2025 compared to 2.64 in 2024. This indicates increased dependence on assets as compared to equity. As the total assets have decreased marginally by 38.110 million to 36.579 million, and equity has decreased by 14.430 to 13.213 million, both sides of the balance sheet have gone down.
The gearing ratio of over 2.5 is quite high, and it means that Nike uses this source of financing to a considerable extent. Although Nike does not seem to be under-geared, the increase in gearing indicates the increase in financial risk. This risk has been mitigated by the fact that the company has an ability to generate high profits in the past but since margins are currently going down, dependence on leverage is increasingly worrying. Without the recovery of profits, high gearing might inhibit the financial flexibility of Nike, reduce its future borrowing capacity, and make it susceptible to the fluctuation of interest rates or credit market conditions.
Nevertheless, Nike is not highly geared in contrast to other capital-intensive companies. Nevertheless, the falling profitability, the deterioration of its efficiency, and the growing gearing provide the factors that promote the necessity to have stricter financial management.</t>
    </r>
  </si>
  <si>
    <r>
      <rPr>
        <b/>
        <sz val="12"/>
        <color theme="1"/>
        <rFont val="Calibri"/>
        <family val="2"/>
        <scheme val="minor"/>
      </rPr>
      <t>Conclusion</t>
    </r>
    <r>
      <rPr>
        <sz val="11"/>
        <color theme="1"/>
        <rFont val="Calibri"/>
        <family val="2"/>
        <scheme val="minor"/>
      </rPr>
      <t xml:space="preserve">
The success of the DuPont analysis of Nike 2025 versus 2024 is not an easy one. The ROOE has gone down drastically to almost 24% down compared to almost 40% as a result of drastic decline in the net income even though revenue changes have been relatively low. The margin ratios are also very bad with cost of sales and other operating expenses taking a larger share of the revenue and squeezing the net profit margins down to less than 7%. The turnover ratios indicate declining performance in both current and non-current assets, especially the use of property, plant and equipment and cash balances. Receivable collection is also doing well, but general asset efficiency is declining.
Gearing ratio has increased modestly indicating greater dependence on assets as compared to equity which would not be cause of alarm in case the profitability did not decrease. But, in conjunction with a declining margin and decrease in asset turnover, the greater gearing brings up the question of a financial risk and sustainability in the long run.
Essentially, the Nike 2025 performance is an indication that a company is stressed by external and internal forces. Profitability has been diminished due to the increasing input prices, intense rivalry and massive marketing spending. The use of assets has become less productive and financial leverage is creepingly increasing. Unless Nike takes bold actions to enhance cost management, optimize its asset base and regain profit margins, the shareholders returns can continue to be under stress.
The DuPont analysis for investors is, on the one hand, Nike is a good international brand, with huge revenues; on the other, its financial efficiency and profitability are beginning to slip. The management has no choice but to restructure costs, enhance efficiency, and balance the capital structure so that ROOE can be brought back to sustainable levels. It is only at this point that Nike can be confident that it will be able to provide long-term value to its shareholders as the global market continues to be more competitive and uncertain.</t>
    </r>
  </si>
  <si>
    <t>Cost of sales/ Revenues</t>
  </si>
  <si>
    <t>Admin. exp. and total selling/Revenues</t>
  </si>
  <si>
    <t>current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</si>
</sst>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 &quot;#,##0_);_(&quot;$ &quot;\(#,##0\)"/>
    <numFmt numFmtId="165" formatCode="_(&quot;$ &quot;#,##0.00_);_(&quot;$ &quot;\(#,##0.00\)"/>
    <numFmt numFmtId="166" formatCode="#,##0.0_);\(#,##0.0\)"/>
  </numFmts>
  <fonts count="12"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name val="Calibri"/>
      <family val="2"/>
    </font>
    <font>
      <sz val="11"/>
      <name val="Calibri"/>
      <family val="2"/>
    </font>
    <font>
      <sz val="14"/>
      <color theme="1"/>
      <name val="Calibri"/>
      <family val="2"/>
      <scheme val="minor"/>
    </font>
    <font>
      <b/>
      <sz val="14"/>
      <color theme="1"/>
      <name val="Calibri"/>
      <family val="2"/>
      <scheme val="minor"/>
    </font>
    <font>
      <sz val="11"/>
      <color theme="1"/>
      <name val="Calibri"/>
      <family val="2"/>
      <scheme val="minor"/>
    </font>
    <font>
      <sz val="11"/>
      <color rgb="FFFF0000"/>
      <name val="Calibri"/>
      <family val="2"/>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8" fillId="0" borderId="0" applyFont="0" applyFill="0" applyBorder="0" applyAlignment="0" applyProtection="0"/>
  </cellStyleXfs>
  <cellXfs count="99">
    <xf numFmtId="0" fontId="0" fillId="0" borderId="0" xfId="0"/>
    <xf numFmtId="0" fontId="0" fillId="0" borderId="1" xfId="0" applyBorder="1"/>
    <xf numFmtId="0" fontId="3" fillId="0" borderId="0" xfId="0" applyFont="1"/>
    <xf numFmtId="0" fontId="5" fillId="0" borderId="0" xfId="0" applyFont="1" applyAlignment="1">
      <alignment horizontal="center" vertical="center" wrapText="1"/>
    </xf>
    <xf numFmtId="0" fontId="4" fillId="0" borderId="0" xfId="0" applyFont="1" applyAlignment="1">
      <alignment vertical="top" wrapText="1"/>
    </xf>
    <xf numFmtId="0" fontId="5" fillId="0" borderId="0" xfId="0" applyFont="1" applyAlignment="1">
      <alignment vertical="top" wrapText="1"/>
    </xf>
    <xf numFmtId="164" fontId="5" fillId="0" borderId="0" xfId="0" applyNumberFormat="1" applyFont="1" applyAlignment="1">
      <alignment horizontal="right" vertical="top"/>
    </xf>
    <xf numFmtId="37" fontId="5" fillId="0" borderId="0" xfId="0" applyNumberFormat="1" applyFont="1" applyAlignment="1">
      <alignment horizontal="right" vertical="top"/>
    </xf>
    <xf numFmtId="0" fontId="4" fillId="0" borderId="0" xfId="0" applyFont="1" applyAlignment="1">
      <alignment horizontal="center" vertical="center" wrapText="1"/>
    </xf>
    <xf numFmtId="165" fontId="5" fillId="0" borderId="0" xfId="0" applyNumberFormat="1" applyFont="1" applyAlignment="1">
      <alignment horizontal="right" vertical="top"/>
    </xf>
    <xf numFmtId="164" fontId="0" fillId="0" borderId="0" xfId="0" applyNumberFormat="1"/>
    <xf numFmtId="10" fontId="0" fillId="0" borderId="0" xfId="1" applyNumberFormat="1" applyFont="1"/>
    <xf numFmtId="0" fontId="6" fillId="0" borderId="0" xfId="0" applyFont="1" applyAlignment="1">
      <alignment horizontal="left" vertical="top" wrapText="1"/>
    </xf>
    <xf numFmtId="0" fontId="6" fillId="0" borderId="0" xfId="0" applyFont="1" applyAlignment="1">
      <alignment horizontal="center" vertical="top" wrapText="1"/>
    </xf>
    <xf numFmtId="0" fontId="6" fillId="0" borderId="0" xfId="0" applyFont="1" applyAlignment="1">
      <alignment vertical="top" wrapText="1"/>
    </xf>
    <xf numFmtId="0" fontId="5" fillId="0" borderId="1" xfId="0" applyFont="1" applyBorder="1" applyAlignment="1">
      <alignment horizontal="center" vertical="center" wrapText="1"/>
    </xf>
    <xf numFmtId="9" fontId="0" fillId="0" borderId="1" xfId="0" applyNumberFormat="1" applyBorder="1"/>
    <xf numFmtId="165" fontId="0" fillId="0" borderId="0" xfId="0" applyNumberFormat="1"/>
    <xf numFmtId="0" fontId="9" fillId="0" borderId="0" xfId="0" applyFont="1" applyAlignment="1">
      <alignment vertical="top" wrapText="1"/>
    </xf>
    <xf numFmtId="0" fontId="0" fillId="0" borderId="16" xfId="0" applyBorder="1"/>
    <xf numFmtId="2" fontId="0" fillId="0" borderId="0" xfId="1" applyNumberFormat="1" applyFont="1"/>
    <xf numFmtId="37" fontId="0" fillId="0" borderId="0" xfId="0" applyNumberFormat="1"/>
    <xf numFmtId="3" fontId="5" fillId="0" borderId="0" xfId="0" applyNumberFormat="1" applyFont="1" applyAlignment="1">
      <alignment horizontal="right" vertical="top"/>
    </xf>
    <xf numFmtId="0" fontId="0" fillId="0" borderId="0" xfId="0" applyAlignment="1">
      <alignment wrapText="1"/>
    </xf>
    <xf numFmtId="0" fontId="1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39" fontId="5" fillId="0" borderId="0" xfId="0" applyNumberFormat="1" applyFont="1" applyAlignment="1">
      <alignment horizontal="right" vertical="top"/>
    </xf>
    <xf numFmtId="0" fontId="0" fillId="0" borderId="2" xfId="0" applyBorder="1"/>
    <xf numFmtId="0" fontId="0" fillId="0" borderId="3" xfId="0" applyBorder="1"/>
    <xf numFmtId="0" fontId="0" fillId="0" borderId="4" xfId="0" applyBorder="1"/>
    <xf numFmtId="0" fontId="0" fillId="0" borderId="7" xfId="0" applyBorder="1"/>
    <xf numFmtId="0" fontId="0" fillId="0" borderId="8" xfId="0" applyBorder="1"/>
    <xf numFmtId="0" fontId="0" fillId="0" borderId="9" xfId="0" applyBorder="1"/>
    <xf numFmtId="0" fontId="0" fillId="0" borderId="5" xfId="0" applyBorder="1"/>
    <xf numFmtId="0" fontId="0" fillId="0" borderId="6" xfId="0" applyBorder="1"/>
    <xf numFmtId="0" fontId="10" fillId="0" borderId="0" xfId="0" applyFont="1"/>
    <xf numFmtId="166" fontId="5" fillId="0" borderId="0" xfId="0" applyNumberFormat="1" applyFont="1" applyAlignment="1">
      <alignment horizontal="right" vertical="top"/>
    </xf>
    <xf numFmtId="0" fontId="5" fillId="0" borderId="0" xfId="0" applyFont="1" applyAlignment="1">
      <alignment horizontal="right" vertical="top" wrapText="1"/>
    </xf>
    <xf numFmtId="0" fontId="0" fillId="0" borderId="17" xfId="0" applyBorder="1"/>
    <xf numFmtId="0" fontId="0" fillId="2" borderId="0" xfId="0" applyFill="1" applyAlignment="1">
      <alignment horizontal="center" wrapText="1"/>
    </xf>
    <xf numFmtId="0" fontId="4" fillId="0" borderId="0" xfId="0" applyFont="1" applyAlignment="1">
      <alignment horizontal="center" vertical="center" wrapText="1"/>
    </xf>
    <xf numFmtId="0" fontId="0" fillId="0" borderId="0" xfId="0"/>
    <xf numFmtId="0" fontId="5" fillId="0" borderId="0" xfId="0" applyFont="1" applyAlignment="1">
      <alignment horizontal="center" vertical="center"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6" fillId="0" borderId="0" xfId="0" applyFont="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15" xfId="0" applyFont="1" applyBorder="1" applyAlignment="1">
      <alignment horizontal="left" vertical="top"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1" xfId="0" applyBorder="1" applyAlignment="1">
      <alignment horizontal="center"/>
    </xf>
    <xf numFmtId="0" fontId="11" fillId="0" borderId="2" xfId="0" applyFont="1" applyBorder="1" applyAlignment="1">
      <alignment horizontal="left" vertical="top" wrapText="1"/>
    </xf>
    <xf numFmtId="0" fontId="11" fillId="0" borderId="3" xfId="0" applyFont="1" applyBorder="1" applyAlignment="1">
      <alignment horizontal="left" vertical="top"/>
    </xf>
    <xf numFmtId="0" fontId="11" fillId="0" borderId="4" xfId="0" applyFont="1" applyBorder="1" applyAlignment="1">
      <alignment horizontal="left" vertical="top"/>
    </xf>
    <xf numFmtId="0" fontId="11" fillId="0" borderId="5" xfId="0" applyFont="1" applyBorder="1" applyAlignment="1">
      <alignment horizontal="left" vertical="top"/>
    </xf>
    <xf numFmtId="0" fontId="11" fillId="0" borderId="0" xfId="0" applyFont="1" applyAlignment="1">
      <alignment horizontal="left" vertical="top"/>
    </xf>
    <xf numFmtId="0" fontId="11" fillId="0" borderId="6" xfId="0" applyFont="1" applyBorder="1" applyAlignment="1">
      <alignment horizontal="left" vertical="top"/>
    </xf>
    <xf numFmtId="0" fontId="11" fillId="0" borderId="7" xfId="0" applyFont="1" applyBorder="1" applyAlignment="1">
      <alignment horizontal="left" vertical="top"/>
    </xf>
    <xf numFmtId="0" fontId="11" fillId="0" borderId="8" xfId="0" applyFont="1" applyBorder="1" applyAlignment="1">
      <alignment horizontal="left" vertical="top"/>
    </xf>
    <xf numFmtId="0" fontId="11" fillId="0" borderId="9" xfId="0" applyFont="1" applyBorder="1" applyAlignment="1">
      <alignment horizontal="left" vertical="top"/>
    </xf>
    <xf numFmtId="0" fontId="2" fillId="0" borderId="2" xfId="0" applyFont="1" applyBorder="1" applyAlignment="1">
      <alignment horizontal="left" vertical="top" wrapText="1"/>
    </xf>
    <xf numFmtId="0" fontId="11" fillId="0" borderId="3" xfId="0" applyFont="1" applyBorder="1" applyAlignment="1">
      <alignment horizontal="left" vertical="top" wrapText="1"/>
    </xf>
    <xf numFmtId="0" fontId="11" fillId="0" borderId="4"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6" xfId="0" applyFont="1" applyBorder="1" applyAlignment="1">
      <alignment horizontal="left" vertical="top" wrapTex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0" xfId="0"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0" xfId="0" applyAlignment="1">
      <alignment horizontal="center"/>
    </xf>
    <xf numFmtId="0" fontId="3" fillId="0" borderId="0" xfId="0" applyFont="1" applyAlignment="1">
      <alignment horizontal="center"/>
    </xf>
    <xf numFmtId="0" fontId="5" fillId="0" borderId="0" xfId="0" applyFont="1" applyAlignment="1">
      <alignment horizontal="center" vertical="top" wrapText="1"/>
    </xf>
    <xf numFmtId="0" fontId="5" fillId="0" borderId="0" xfId="0" applyFont="1" applyAlignment="1">
      <alignmen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4B5E2-A67B-45CF-8F9E-FC42BE278AE3}">
  <dimension ref="A2:W73"/>
  <sheetViews>
    <sheetView tabSelected="1" zoomScale="80" zoomScaleNormal="80" workbookViewId="0">
      <selection activeCell="H7" sqref="H7:W73"/>
    </sheetView>
  </sheetViews>
  <sheetFormatPr defaultColWidth="8.81640625" defaultRowHeight="14.5" x14ac:dyDescent="0.35"/>
  <cols>
    <col min="1" max="1" width="74.1796875" customWidth="1"/>
    <col min="2" max="2" width="12.81640625" customWidth="1"/>
    <col min="3" max="3" width="13.1796875" customWidth="1"/>
    <col min="4" max="4" width="12" customWidth="1"/>
  </cols>
  <sheetData>
    <row r="2" spans="1:23" x14ac:dyDescent="0.35">
      <c r="D2" s="1" t="s">
        <v>0</v>
      </c>
      <c r="E2" s="1">
        <f>SUM(F2:G2)</f>
        <v>6</v>
      </c>
      <c r="F2" s="1">
        <v>3</v>
      </c>
      <c r="G2" s="1">
        <v>3</v>
      </c>
    </row>
    <row r="3" spans="1:23" x14ac:dyDescent="0.35">
      <c r="D3" s="1" t="s">
        <v>1</v>
      </c>
      <c r="E3" s="1">
        <f>SUM(F3:G3)</f>
        <v>0</v>
      </c>
      <c r="F3" s="1">
        <v>0</v>
      </c>
      <c r="G3" s="1">
        <v>0</v>
      </c>
    </row>
    <row r="5" spans="1:23" x14ac:dyDescent="0.35">
      <c r="A5" s="40" t="s">
        <v>2</v>
      </c>
      <c r="B5" s="40"/>
      <c r="C5" s="40"/>
      <c r="D5" s="40"/>
      <c r="E5" s="40"/>
      <c r="F5" s="40"/>
      <c r="G5" s="40"/>
      <c r="H5" s="40"/>
      <c r="I5" s="40"/>
      <c r="J5" s="40"/>
      <c r="K5" s="40"/>
      <c r="L5" s="40"/>
    </row>
    <row r="6" spans="1:23" ht="15" thickBot="1" x14ac:dyDescent="0.4"/>
    <row r="7" spans="1:23" ht="15" customHeight="1" x14ac:dyDescent="0.35">
      <c r="A7" s="41" t="s">
        <v>3</v>
      </c>
      <c r="B7" s="43" t="s">
        <v>4</v>
      </c>
      <c r="C7" s="42"/>
      <c r="D7" s="42"/>
      <c r="H7" s="44" t="s">
        <v>48</v>
      </c>
      <c r="I7" s="45"/>
      <c r="J7" s="45"/>
      <c r="K7" s="45"/>
      <c r="L7" s="45"/>
      <c r="M7" s="45"/>
      <c r="N7" s="45"/>
      <c r="O7" s="45"/>
      <c r="P7" s="45"/>
      <c r="Q7" s="45"/>
      <c r="R7" s="45"/>
      <c r="S7" s="45"/>
      <c r="T7" s="45"/>
      <c r="U7" s="45"/>
      <c r="V7" s="45"/>
      <c r="W7" s="46"/>
    </row>
    <row r="8" spans="1:23" ht="16" customHeight="1" x14ac:dyDescent="0.35">
      <c r="A8" s="42"/>
      <c r="B8" s="3" t="s">
        <v>5</v>
      </c>
      <c r="C8" s="3" t="s">
        <v>6</v>
      </c>
      <c r="D8" s="3" t="s">
        <v>7</v>
      </c>
      <c r="H8" s="47"/>
      <c r="I8" s="48"/>
      <c r="J8" s="48"/>
      <c r="K8" s="48"/>
      <c r="L8" s="48"/>
      <c r="M8" s="48"/>
      <c r="N8" s="48"/>
      <c r="O8" s="48"/>
      <c r="P8" s="48"/>
      <c r="Q8" s="48"/>
      <c r="R8" s="48"/>
      <c r="S8" s="48"/>
      <c r="T8" s="48"/>
      <c r="U8" s="48"/>
      <c r="V8" s="48"/>
      <c r="W8" s="49"/>
    </row>
    <row r="9" spans="1:23" ht="16" customHeight="1" x14ac:dyDescent="0.35">
      <c r="A9" s="4" t="s">
        <v>8</v>
      </c>
      <c r="B9" s="5" t="s">
        <v>9</v>
      </c>
      <c r="C9" s="5" t="s">
        <v>9</v>
      </c>
      <c r="D9" s="5" t="s">
        <v>9</v>
      </c>
      <c r="H9" s="47"/>
      <c r="I9" s="48"/>
      <c r="J9" s="48"/>
      <c r="K9" s="48"/>
      <c r="L9" s="48"/>
      <c r="M9" s="48"/>
      <c r="N9" s="48"/>
      <c r="O9" s="48"/>
      <c r="P9" s="48"/>
      <c r="Q9" s="48"/>
      <c r="R9" s="48"/>
      <c r="S9" s="48"/>
      <c r="T9" s="48"/>
      <c r="U9" s="48"/>
      <c r="V9" s="48"/>
      <c r="W9" s="49"/>
    </row>
    <row r="10" spans="1:23" ht="16" customHeight="1" x14ac:dyDescent="0.35">
      <c r="A10" s="5" t="s">
        <v>10</v>
      </c>
      <c r="B10" s="6">
        <v>20157</v>
      </c>
      <c r="C10" s="6">
        <v>16270</v>
      </c>
      <c r="D10" s="6">
        <v>11292</v>
      </c>
      <c r="H10" s="47"/>
      <c r="I10" s="48"/>
      <c r="J10" s="48"/>
      <c r="K10" s="48"/>
      <c r="L10" s="48"/>
      <c r="M10" s="48"/>
      <c r="N10" s="48"/>
      <c r="O10" s="48"/>
      <c r="P10" s="48"/>
      <c r="Q10" s="48"/>
      <c r="R10" s="48"/>
      <c r="S10" s="48"/>
      <c r="T10" s="48"/>
      <c r="U10" s="48"/>
      <c r="V10" s="48"/>
      <c r="W10" s="49"/>
    </row>
    <row r="11" spans="1:23" ht="29" x14ac:dyDescent="0.35">
      <c r="A11" s="4" t="s">
        <v>11</v>
      </c>
      <c r="B11" s="5" t="s">
        <v>9</v>
      </c>
      <c r="C11" s="5" t="s">
        <v>9</v>
      </c>
      <c r="D11" s="5" t="s">
        <v>9</v>
      </c>
      <c r="H11" s="47"/>
      <c r="I11" s="48"/>
      <c r="J11" s="48"/>
      <c r="K11" s="48"/>
      <c r="L11" s="48"/>
      <c r="M11" s="48"/>
      <c r="N11" s="48"/>
      <c r="O11" s="48"/>
      <c r="P11" s="48"/>
      <c r="Q11" s="48"/>
      <c r="R11" s="48"/>
      <c r="S11" s="48"/>
      <c r="T11" s="48"/>
      <c r="U11" s="48"/>
      <c r="V11" s="48"/>
      <c r="W11" s="49"/>
    </row>
    <row r="12" spans="1:23" ht="16" customHeight="1" x14ac:dyDescent="0.35">
      <c r="A12" s="5" t="s">
        <v>12</v>
      </c>
      <c r="B12" s="7">
        <v>12973</v>
      </c>
      <c r="C12" s="7">
        <v>11853</v>
      </c>
      <c r="D12" s="7">
        <v>10945</v>
      </c>
      <c r="H12" s="47"/>
      <c r="I12" s="48"/>
      <c r="J12" s="48"/>
      <c r="K12" s="48"/>
      <c r="L12" s="48"/>
      <c r="M12" s="48"/>
      <c r="N12" s="48"/>
      <c r="O12" s="48"/>
      <c r="P12" s="48"/>
      <c r="Q12" s="48"/>
      <c r="R12" s="48"/>
      <c r="S12" s="48"/>
      <c r="T12" s="48"/>
      <c r="U12" s="48"/>
      <c r="V12" s="48"/>
      <c r="W12" s="49"/>
    </row>
    <row r="13" spans="1:23" ht="16" customHeight="1" x14ac:dyDescent="0.35">
      <c r="A13" s="5" t="s">
        <v>13</v>
      </c>
      <c r="B13" s="7">
        <v>878</v>
      </c>
      <c r="C13" s="7">
        <v>3193</v>
      </c>
      <c r="D13" s="7">
        <v>1683</v>
      </c>
      <c r="H13" s="47"/>
      <c r="I13" s="48"/>
      <c r="J13" s="48"/>
      <c r="K13" s="48"/>
      <c r="L13" s="48"/>
      <c r="M13" s="48"/>
      <c r="N13" s="48"/>
      <c r="O13" s="48"/>
      <c r="P13" s="48"/>
      <c r="Q13" s="48"/>
      <c r="R13" s="48"/>
      <c r="S13" s="48"/>
      <c r="T13" s="48"/>
      <c r="U13" s="48"/>
      <c r="V13" s="48"/>
      <c r="W13" s="49"/>
    </row>
    <row r="14" spans="1:23" ht="16" customHeight="1" x14ac:dyDescent="0.35">
      <c r="A14" s="5" t="s">
        <v>14</v>
      </c>
      <c r="B14" s="7">
        <v>-635</v>
      </c>
      <c r="C14" s="7">
        <v>-175</v>
      </c>
      <c r="D14" s="7">
        <v>449</v>
      </c>
      <c r="H14" s="47"/>
      <c r="I14" s="48"/>
      <c r="J14" s="48"/>
      <c r="K14" s="48"/>
      <c r="L14" s="48"/>
      <c r="M14" s="48"/>
      <c r="N14" s="48"/>
      <c r="O14" s="48"/>
      <c r="P14" s="48"/>
      <c r="Q14" s="48"/>
      <c r="R14" s="48"/>
      <c r="S14" s="48"/>
      <c r="T14" s="48"/>
      <c r="U14" s="48"/>
      <c r="V14" s="48"/>
      <c r="W14" s="49"/>
    </row>
    <row r="15" spans="1:23" ht="16" customHeight="1" x14ac:dyDescent="0.35">
      <c r="A15" s="5" t="s">
        <v>15</v>
      </c>
      <c r="B15" s="7">
        <v>2889</v>
      </c>
      <c r="C15" s="7">
        <v>2642</v>
      </c>
      <c r="D15" s="7">
        <v>1919</v>
      </c>
      <c r="H15" s="47"/>
      <c r="I15" s="48"/>
      <c r="J15" s="48"/>
      <c r="K15" s="48"/>
      <c r="L15" s="48"/>
      <c r="M15" s="48"/>
      <c r="N15" s="48"/>
      <c r="O15" s="48"/>
      <c r="P15" s="48"/>
      <c r="Q15" s="48"/>
      <c r="R15" s="48"/>
      <c r="S15" s="48"/>
      <c r="T15" s="48"/>
      <c r="U15" s="48"/>
      <c r="V15" s="48"/>
      <c r="W15" s="49"/>
    </row>
    <row r="16" spans="1:23" ht="16" customHeight="1" x14ac:dyDescent="0.35">
      <c r="A16" s="4" t="s">
        <v>16</v>
      </c>
      <c r="B16" s="5" t="s">
        <v>9</v>
      </c>
      <c r="C16" s="5" t="s">
        <v>9</v>
      </c>
      <c r="D16" s="5" t="s">
        <v>9</v>
      </c>
      <c r="H16" s="47"/>
      <c r="I16" s="48"/>
      <c r="J16" s="48"/>
      <c r="K16" s="48"/>
      <c r="L16" s="48"/>
      <c r="M16" s="48"/>
      <c r="N16" s="48"/>
      <c r="O16" s="48"/>
      <c r="P16" s="48"/>
      <c r="Q16" s="48"/>
      <c r="R16" s="48"/>
      <c r="S16" s="48"/>
      <c r="T16" s="48"/>
      <c r="U16" s="48"/>
      <c r="V16" s="48"/>
      <c r="W16" s="49"/>
    </row>
    <row r="17" spans="1:23" ht="16" customHeight="1" x14ac:dyDescent="0.35">
      <c r="A17" s="5" t="s">
        <v>17</v>
      </c>
      <c r="B17" s="7">
        <v>-1106</v>
      </c>
      <c r="C17" s="7">
        <v>-797</v>
      </c>
      <c r="D17" s="7">
        <v>240</v>
      </c>
      <c r="H17" s="47"/>
      <c r="I17" s="48"/>
      <c r="J17" s="48"/>
      <c r="K17" s="48"/>
      <c r="L17" s="48"/>
      <c r="M17" s="48"/>
      <c r="N17" s="48"/>
      <c r="O17" s="48"/>
      <c r="P17" s="48"/>
      <c r="Q17" s="48"/>
      <c r="R17" s="48"/>
      <c r="S17" s="48"/>
      <c r="T17" s="48"/>
      <c r="U17" s="48"/>
      <c r="V17" s="48"/>
      <c r="W17" s="49"/>
    </row>
    <row r="18" spans="1:23" ht="16" customHeight="1" x14ac:dyDescent="0.35">
      <c r="A18" s="5" t="s">
        <v>18</v>
      </c>
      <c r="B18" s="7">
        <v>-2755</v>
      </c>
      <c r="C18" s="7">
        <v>2017</v>
      </c>
      <c r="D18" s="7">
        <v>-528</v>
      </c>
      <c r="H18" s="47"/>
      <c r="I18" s="48"/>
      <c r="J18" s="48"/>
      <c r="K18" s="48"/>
      <c r="L18" s="48"/>
      <c r="M18" s="48"/>
      <c r="N18" s="48"/>
      <c r="O18" s="48"/>
      <c r="P18" s="48"/>
      <c r="Q18" s="48"/>
      <c r="R18" s="48"/>
      <c r="S18" s="48"/>
      <c r="T18" s="48"/>
      <c r="U18" s="48"/>
      <c r="V18" s="48"/>
      <c r="W18" s="49"/>
    </row>
    <row r="19" spans="1:23" ht="16" customHeight="1" x14ac:dyDescent="0.35">
      <c r="A19" s="5" t="s">
        <v>19</v>
      </c>
      <c r="B19" s="7">
        <v>3228</v>
      </c>
      <c r="C19" s="7">
        <v>2515</v>
      </c>
      <c r="D19" s="7">
        <v>-1425</v>
      </c>
      <c r="H19" s="47"/>
      <c r="I19" s="48"/>
      <c r="J19" s="48"/>
      <c r="K19" s="48"/>
      <c r="L19" s="48"/>
      <c r="M19" s="48"/>
      <c r="N19" s="48"/>
      <c r="O19" s="48"/>
      <c r="P19" s="48"/>
      <c r="Q19" s="48"/>
      <c r="R19" s="48"/>
      <c r="S19" s="48"/>
      <c r="T19" s="48"/>
      <c r="U19" s="48"/>
      <c r="V19" s="48"/>
      <c r="W19" s="49"/>
    </row>
    <row r="20" spans="1:23" ht="16" customHeight="1" x14ac:dyDescent="0.35">
      <c r="A20" s="5" t="s">
        <v>20</v>
      </c>
      <c r="B20" s="7">
        <v>379</v>
      </c>
      <c r="C20" s="7">
        <v>-1324</v>
      </c>
      <c r="D20" s="7">
        <v>4393</v>
      </c>
      <c r="H20" s="47"/>
      <c r="I20" s="48"/>
      <c r="J20" s="48"/>
      <c r="K20" s="48"/>
      <c r="L20" s="48"/>
      <c r="M20" s="48"/>
      <c r="N20" s="48"/>
      <c r="O20" s="48"/>
      <c r="P20" s="48"/>
      <c r="Q20" s="48"/>
      <c r="R20" s="48"/>
      <c r="S20" s="48"/>
      <c r="T20" s="48"/>
      <c r="U20" s="48"/>
      <c r="V20" s="48"/>
      <c r="W20" s="49"/>
    </row>
    <row r="21" spans="1:23" ht="16" customHeight="1" x14ac:dyDescent="0.35">
      <c r="A21" s="5" t="s">
        <v>21</v>
      </c>
      <c r="B21" s="7">
        <v>435</v>
      </c>
      <c r="C21" s="7">
        <v>-468</v>
      </c>
      <c r="D21" s="7">
        <v>-127</v>
      </c>
      <c r="H21" s="47"/>
      <c r="I21" s="48"/>
      <c r="J21" s="48"/>
      <c r="K21" s="48"/>
      <c r="L21" s="48"/>
      <c r="M21" s="48"/>
      <c r="N21" s="48"/>
      <c r="O21" s="48"/>
      <c r="P21" s="48"/>
      <c r="Q21" s="48"/>
      <c r="R21" s="48"/>
      <c r="S21" s="48"/>
      <c r="T21" s="48"/>
      <c r="U21" s="48"/>
      <c r="V21" s="48"/>
      <c r="W21" s="49"/>
    </row>
    <row r="22" spans="1:23" ht="16" customHeight="1" x14ac:dyDescent="0.35">
      <c r="A22" s="5" t="s">
        <v>22</v>
      </c>
      <c r="B22" s="7">
        <v>36443</v>
      </c>
      <c r="C22" s="7">
        <v>35726</v>
      </c>
      <c r="D22" s="7">
        <v>28841</v>
      </c>
      <c r="H22" s="47"/>
      <c r="I22" s="48"/>
      <c r="J22" s="48"/>
      <c r="K22" s="48"/>
      <c r="L22" s="48"/>
      <c r="M22" s="48"/>
      <c r="N22" s="48"/>
      <c r="O22" s="48"/>
      <c r="P22" s="48"/>
      <c r="Q22" s="48"/>
      <c r="R22" s="48"/>
      <c r="S22" s="48"/>
      <c r="T22" s="48"/>
      <c r="U22" s="48"/>
      <c r="V22" s="48"/>
      <c r="W22" s="49"/>
    </row>
    <row r="23" spans="1:23" ht="16" customHeight="1" x14ac:dyDescent="0.35">
      <c r="A23" s="4" t="s">
        <v>23</v>
      </c>
      <c r="B23" s="5" t="s">
        <v>9</v>
      </c>
      <c r="C23" s="5" t="s">
        <v>9</v>
      </c>
      <c r="D23" s="5" t="s">
        <v>9</v>
      </c>
      <c r="H23" s="47"/>
      <c r="I23" s="48"/>
      <c r="J23" s="48"/>
      <c r="K23" s="48"/>
      <c r="L23" s="48"/>
      <c r="M23" s="48"/>
      <c r="N23" s="48"/>
      <c r="O23" s="48"/>
      <c r="P23" s="48"/>
      <c r="Q23" s="48"/>
      <c r="R23" s="48"/>
      <c r="S23" s="48"/>
      <c r="T23" s="48"/>
      <c r="U23" s="48"/>
      <c r="V23" s="48"/>
      <c r="W23" s="49"/>
    </row>
    <row r="24" spans="1:23" ht="16" customHeight="1" x14ac:dyDescent="0.35">
      <c r="A24" s="5" t="s">
        <v>24</v>
      </c>
      <c r="B24" s="7">
        <v>-23783</v>
      </c>
      <c r="C24" s="7">
        <v>-20606</v>
      </c>
      <c r="D24" s="7">
        <v>-16857</v>
      </c>
      <c r="H24" s="47"/>
      <c r="I24" s="48"/>
      <c r="J24" s="48"/>
      <c r="K24" s="48"/>
      <c r="L24" s="48"/>
      <c r="M24" s="48"/>
      <c r="N24" s="48"/>
      <c r="O24" s="48"/>
      <c r="P24" s="48"/>
      <c r="Q24" s="48"/>
      <c r="R24" s="48"/>
      <c r="S24" s="48"/>
      <c r="T24" s="48"/>
      <c r="U24" s="48"/>
      <c r="V24" s="48"/>
      <c r="W24" s="49"/>
    </row>
    <row r="25" spans="1:23" ht="16" customHeight="1" x14ac:dyDescent="0.35">
      <c r="A25" s="5" t="s">
        <v>25</v>
      </c>
      <c r="B25" s="7">
        <v>432</v>
      </c>
      <c r="C25" s="7">
        <v>250</v>
      </c>
      <c r="D25" s="7">
        <v>170</v>
      </c>
      <c r="H25" s="47"/>
      <c r="I25" s="48"/>
      <c r="J25" s="48"/>
      <c r="K25" s="48"/>
      <c r="L25" s="48"/>
      <c r="M25" s="48"/>
      <c r="N25" s="48"/>
      <c r="O25" s="48"/>
      <c r="P25" s="48"/>
      <c r="Q25" s="48"/>
      <c r="R25" s="48"/>
      <c r="S25" s="48"/>
      <c r="T25" s="48"/>
      <c r="U25" s="48"/>
      <c r="V25" s="48"/>
      <c r="W25" s="49"/>
    </row>
    <row r="26" spans="1:23" ht="16" customHeight="1" x14ac:dyDescent="0.35">
      <c r="A26" s="5" t="s">
        <v>26</v>
      </c>
      <c r="B26" s="7">
        <v>4080</v>
      </c>
      <c r="C26" s="7">
        <v>0</v>
      </c>
      <c r="D26" s="7">
        <v>0</v>
      </c>
      <c r="H26" s="47"/>
      <c r="I26" s="48"/>
      <c r="J26" s="48"/>
      <c r="K26" s="48"/>
      <c r="L26" s="48"/>
      <c r="M26" s="48"/>
      <c r="N26" s="48"/>
      <c r="O26" s="48"/>
      <c r="P26" s="48"/>
      <c r="Q26" s="48"/>
      <c r="R26" s="48"/>
      <c r="S26" s="48"/>
      <c r="T26" s="48"/>
      <c r="U26" s="48"/>
      <c r="V26" s="48"/>
      <c r="W26" s="49"/>
    </row>
    <row r="27" spans="1:23" ht="16" customHeight="1" x14ac:dyDescent="0.35">
      <c r="A27" s="5" t="s">
        <v>27</v>
      </c>
      <c r="B27" s="7">
        <v>-1896</v>
      </c>
      <c r="C27" s="7">
        <v>-9</v>
      </c>
      <c r="D27" s="7">
        <v>-740</v>
      </c>
      <c r="H27" s="47"/>
      <c r="I27" s="48"/>
      <c r="J27" s="48"/>
      <c r="K27" s="48"/>
      <c r="L27" s="48"/>
      <c r="M27" s="48"/>
      <c r="N27" s="48"/>
      <c r="O27" s="48"/>
      <c r="P27" s="48"/>
      <c r="Q27" s="48"/>
      <c r="R27" s="48"/>
      <c r="S27" s="48"/>
      <c r="T27" s="48"/>
      <c r="U27" s="48"/>
      <c r="V27" s="48"/>
      <c r="W27" s="49"/>
    </row>
    <row r="28" spans="1:23" ht="16" customHeight="1" x14ac:dyDescent="0.35">
      <c r="A28" s="5" t="s">
        <v>28</v>
      </c>
      <c r="B28" s="7">
        <v>-212</v>
      </c>
      <c r="C28" s="7">
        <v>-922</v>
      </c>
      <c r="D28" s="7">
        <v>-295</v>
      </c>
      <c r="H28" s="47"/>
      <c r="I28" s="48"/>
      <c r="J28" s="48"/>
      <c r="K28" s="48"/>
      <c r="L28" s="48"/>
      <c r="M28" s="48"/>
      <c r="N28" s="48"/>
      <c r="O28" s="48"/>
      <c r="P28" s="48"/>
      <c r="Q28" s="48"/>
      <c r="R28" s="48"/>
      <c r="S28" s="48"/>
      <c r="T28" s="48"/>
      <c r="U28" s="48"/>
      <c r="V28" s="48"/>
      <c r="W28" s="49"/>
    </row>
    <row r="29" spans="1:23" ht="16" customHeight="1" x14ac:dyDescent="0.35">
      <c r="A29" s="5" t="s">
        <v>29</v>
      </c>
      <c r="B29" s="7">
        <v>-21379</v>
      </c>
      <c r="C29" s="7">
        <v>-21287</v>
      </c>
      <c r="D29" s="7">
        <v>-17722</v>
      </c>
      <c r="H29" s="47"/>
      <c r="I29" s="48"/>
      <c r="J29" s="48"/>
      <c r="K29" s="48"/>
      <c r="L29" s="48"/>
      <c r="M29" s="48"/>
      <c r="N29" s="48"/>
      <c r="O29" s="48"/>
      <c r="P29" s="48"/>
      <c r="Q29" s="48"/>
      <c r="R29" s="48"/>
      <c r="S29" s="48"/>
      <c r="T29" s="48"/>
      <c r="U29" s="48"/>
      <c r="V29" s="48"/>
      <c r="W29" s="49"/>
    </row>
    <row r="30" spans="1:23" ht="16" customHeight="1" x14ac:dyDescent="0.35">
      <c r="A30" s="4" t="s">
        <v>30</v>
      </c>
      <c r="B30" s="5" t="s">
        <v>9</v>
      </c>
      <c r="C30" s="5" t="s">
        <v>9</v>
      </c>
      <c r="D30" s="5" t="s">
        <v>9</v>
      </c>
      <c r="H30" s="47"/>
      <c r="I30" s="48"/>
      <c r="J30" s="48"/>
      <c r="K30" s="48"/>
      <c r="L30" s="48"/>
      <c r="M30" s="48"/>
      <c r="N30" s="48"/>
      <c r="O30" s="48"/>
      <c r="P30" s="48"/>
      <c r="Q30" s="48"/>
      <c r="R30" s="48"/>
      <c r="S30" s="48"/>
      <c r="T30" s="48"/>
      <c r="U30" s="48"/>
      <c r="V30" s="48"/>
      <c r="W30" s="49"/>
    </row>
    <row r="31" spans="1:23" ht="16" customHeight="1" x14ac:dyDescent="0.35">
      <c r="A31" s="5" t="s">
        <v>31</v>
      </c>
      <c r="B31" s="7">
        <v>2212</v>
      </c>
      <c r="C31" s="7">
        <v>512</v>
      </c>
      <c r="D31" s="7">
        <v>-34</v>
      </c>
      <c r="H31" s="47"/>
      <c r="I31" s="48"/>
      <c r="J31" s="48"/>
      <c r="K31" s="48"/>
      <c r="L31" s="48"/>
      <c r="M31" s="48"/>
      <c r="N31" s="48"/>
      <c r="O31" s="48"/>
      <c r="P31" s="48"/>
      <c r="Q31" s="48"/>
      <c r="R31" s="48"/>
      <c r="S31" s="48"/>
      <c r="T31" s="48"/>
      <c r="U31" s="48"/>
      <c r="V31" s="48"/>
      <c r="W31" s="49"/>
    </row>
    <row r="32" spans="1:23" ht="16" customHeight="1" x14ac:dyDescent="0.35">
      <c r="A32" s="5" t="s">
        <v>32</v>
      </c>
      <c r="B32" s="7">
        <v>0</v>
      </c>
      <c r="C32" s="7">
        <v>4967</v>
      </c>
      <c r="D32" s="7">
        <v>5041</v>
      </c>
      <c r="H32" s="47"/>
      <c r="I32" s="48"/>
      <c r="J32" s="48"/>
      <c r="K32" s="48"/>
      <c r="L32" s="48"/>
      <c r="M32" s="48"/>
      <c r="N32" s="48"/>
      <c r="O32" s="48"/>
      <c r="P32" s="48"/>
      <c r="Q32" s="48"/>
      <c r="R32" s="48"/>
      <c r="S32" s="48"/>
      <c r="T32" s="48"/>
      <c r="U32" s="48"/>
      <c r="V32" s="48"/>
      <c r="W32" s="49"/>
    </row>
    <row r="33" spans="1:23" ht="16" customHeight="1" x14ac:dyDescent="0.35">
      <c r="A33" s="5" t="s">
        <v>33</v>
      </c>
      <c r="B33" s="7">
        <v>-3468</v>
      </c>
      <c r="C33" s="7">
        <v>-4217</v>
      </c>
      <c r="D33" s="7">
        <v>-2689</v>
      </c>
      <c r="H33" s="47"/>
      <c r="I33" s="48"/>
      <c r="J33" s="48"/>
      <c r="K33" s="48"/>
      <c r="L33" s="48"/>
      <c r="M33" s="48"/>
      <c r="N33" s="48"/>
      <c r="O33" s="48"/>
      <c r="P33" s="48"/>
      <c r="Q33" s="48"/>
      <c r="R33" s="48"/>
      <c r="S33" s="48"/>
      <c r="T33" s="48"/>
      <c r="U33" s="48"/>
      <c r="V33" s="48"/>
      <c r="W33" s="49"/>
    </row>
    <row r="34" spans="1:23" ht="16" customHeight="1" x14ac:dyDescent="0.35">
      <c r="A34" s="5" t="s">
        <v>34</v>
      </c>
      <c r="B34" s="7">
        <v>-6688</v>
      </c>
      <c r="C34" s="7">
        <v>-6140</v>
      </c>
      <c r="D34" s="7">
        <v>-6114</v>
      </c>
      <c r="H34" s="47"/>
      <c r="I34" s="48"/>
      <c r="J34" s="48"/>
      <c r="K34" s="48"/>
      <c r="L34" s="48"/>
      <c r="M34" s="48"/>
      <c r="N34" s="48"/>
      <c r="O34" s="48"/>
      <c r="P34" s="48"/>
      <c r="Q34" s="48"/>
      <c r="R34" s="48"/>
      <c r="S34" s="48"/>
      <c r="T34" s="48"/>
      <c r="U34" s="48"/>
      <c r="V34" s="48"/>
      <c r="W34" s="49"/>
    </row>
    <row r="35" spans="1:23" ht="16" customHeight="1" x14ac:dyDescent="0.35">
      <c r="A35" s="5" t="s">
        <v>35</v>
      </c>
      <c r="B35" s="7">
        <v>-4494</v>
      </c>
      <c r="C35" s="7">
        <v>-2779</v>
      </c>
      <c r="D35" s="7">
        <v>-9920</v>
      </c>
      <c r="H35" s="47"/>
      <c r="I35" s="48"/>
      <c r="J35" s="48"/>
      <c r="K35" s="48"/>
      <c r="L35" s="48"/>
      <c r="M35" s="48"/>
      <c r="N35" s="48"/>
      <c r="O35" s="48"/>
      <c r="P35" s="48"/>
      <c r="Q35" s="48"/>
      <c r="R35" s="48"/>
      <c r="S35" s="48"/>
      <c r="T35" s="48"/>
      <c r="U35" s="48"/>
      <c r="V35" s="48"/>
      <c r="W35" s="49"/>
    </row>
    <row r="36" spans="1:23" ht="16" customHeight="1" x14ac:dyDescent="0.35">
      <c r="A36" s="5" t="s">
        <v>36</v>
      </c>
      <c r="B36" s="7">
        <v>-576</v>
      </c>
      <c r="C36" s="7">
        <v>-763</v>
      </c>
      <c r="D36" s="7">
        <v>-444</v>
      </c>
      <c r="H36" s="47"/>
      <c r="I36" s="48"/>
      <c r="J36" s="48"/>
      <c r="K36" s="48"/>
      <c r="L36" s="48"/>
      <c r="M36" s="48"/>
      <c r="N36" s="48"/>
      <c r="O36" s="48"/>
      <c r="P36" s="48"/>
      <c r="Q36" s="48"/>
      <c r="R36" s="48"/>
      <c r="S36" s="48"/>
      <c r="T36" s="48"/>
      <c r="U36" s="48"/>
      <c r="V36" s="48"/>
      <c r="W36" s="49"/>
    </row>
    <row r="37" spans="1:23" ht="16" customHeight="1" x14ac:dyDescent="0.35">
      <c r="A37" s="5" t="s">
        <v>37</v>
      </c>
      <c r="B37" s="7">
        <v>0</v>
      </c>
      <c r="C37" s="7">
        <v>-3462</v>
      </c>
      <c r="D37" s="7">
        <v>-827</v>
      </c>
      <c r="H37" s="47"/>
      <c r="I37" s="48"/>
      <c r="J37" s="48"/>
      <c r="K37" s="48"/>
      <c r="L37" s="48"/>
      <c r="M37" s="48"/>
      <c r="N37" s="48"/>
      <c r="O37" s="48"/>
      <c r="P37" s="48"/>
      <c r="Q37" s="48"/>
      <c r="R37" s="48"/>
      <c r="S37" s="48"/>
      <c r="T37" s="48"/>
      <c r="U37" s="48"/>
      <c r="V37" s="48"/>
      <c r="W37" s="49"/>
    </row>
    <row r="38" spans="1:23" ht="16" customHeight="1" x14ac:dyDescent="0.35">
      <c r="A38" s="5" t="s">
        <v>38</v>
      </c>
      <c r="B38" s="7">
        <v>362</v>
      </c>
      <c r="C38" s="7">
        <v>716</v>
      </c>
      <c r="D38" s="7">
        <v>66</v>
      </c>
      <c r="H38" s="47"/>
      <c r="I38" s="48"/>
      <c r="J38" s="48"/>
      <c r="K38" s="48"/>
      <c r="L38" s="48"/>
      <c r="M38" s="48"/>
      <c r="N38" s="48"/>
      <c r="O38" s="48"/>
      <c r="P38" s="48"/>
      <c r="Q38" s="48"/>
      <c r="R38" s="48"/>
      <c r="S38" s="48"/>
      <c r="T38" s="48"/>
      <c r="U38" s="48"/>
      <c r="V38" s="48"/>
      <c r="W38" s="49"/>
    </row>
    <row r="39" spans="1:23" ht="16" customHeight="1" x14ac:dyDescent="0.35">
      <c r="A39" s="5" t="s">
        <v>39</v>
      </c>
      <c r="B39" s="7">
        <v>-2170</v>
      </c>
      <c r="C39" s="7">
        <v>-2248</v>
      </c>
      <c r="D39" s="7">
        <v>-2118</v>
      </c>
      <c r="H39" s="47"/>
      <c r="I39" s="48"/>
      <c r="J39" s="48"/>
      <c r="K39" s="48"/>
      <c r="L39" s="48"/>
      <c r="M39" s="48"/>
      <c r="N39" s="48"/>
      <c r="O39" s="48"/>
      <c r="P39" s="48"/>
      <c r="Q39" s="48"/>
      <c r="R39" s="48"/>
      <c r="S39" s="48"/>
      <c r="T39" s="48"/>
      <c r="U39" s="48"/>
      <c r="V39" s="48"/>
      <c r="W39" s="49"/>
    </row>
    <row r="40" spans="1:23" ht="16" customHeight="1" x14ac:dyDescent="0.35">
      <c r="A40" s="5" t="s">
        <v>40</v>
      </c>
      <c r="B40" s="7">
        <v>-14822</v>
      </c>
      <c r="C40" s="7">
        <v>-13414</v>
      </c>
      <c r="D40" s="7">
        <v>-17039</v>
      </c>
      <c r="H40" s="47"/>
      <c r="I40" s="48"/>
      <c r="J40" s="48"/>
      <c r="K40" s="48"/>
      <c r="L40" s="48"/>
      <c r="M40" s="48"/>
      <c r="N40" s="48"/>
      <c r="O40" s="48"/>
      <c r="P40" s="48"/>
      <c r="Q40" s="48"/>
      <c r="R40" s="48"/>
      <c r="S40" s="48"/>
      <c r="T40" s="48"/>
      <c r="U40" s="48"/>
      <c r="V40" s="48"/>
      <c r="W40" s="49"/>
    </row>
    <row r="41" spans="1:23" ht="16" customHeight="1" x14ac:dyDescent="0.35">
      <c r="A41" s="5" t="s">
        <v>41</v>
      </c>
      <c r="B41" s="7">
        <v>-641</v>
      </c>
      <c r="C41" s="7">
        <v>69</v>
      </c>
      <c r="D41" s="7">
        <v>-73</v>
      </c>
      <c r="H41" s="47"/>
      <c r="I41" s="48"/>
      <c r="J41" s="48"/>
      <c r="K41" s="48"/>
      <c r="L41" s="48"/>
      <c r="M41" s="48"/>
      <c r="N41" s="48"/>
      <c r="O41" s="48"/>
      <c r="P41" s="48"/>
      <c r="Q41" s="48"/>
      <c r="R41" s="48"/>
      <c r="S41" s="48"/>
      <c r="T41" s="48"/>
      <c r="U41" s="48"/>
      <c r="V41" s="48"/>
      <c r="W41" s="49"/>
    </row>
    <row r="42" spans="1:23" ht="16" customHeight="1" x14ac:dyDescent="0.35">
      <c r="A42" s="5" t="s">
        <v>42</v>
      </c>
      <c r="B42" s="7">
        <v>-399</v>
      </c>
      <c r="C42" s="7">
        <v>1094</v>
      </c>
      <c r="D42" s="7">
        <v>-5993</v>
      </c>
      <c r="H42" s="47"/>
      <c r="I42" s="48"/>
      <c r="J42" s="48"/>
      <c r="K42" s="48"/>
      <c r="L42" s="48"/>
      <c r="M42" s="48"/>
      <c r="N42" s="48"/>
      <c r="O42" s="48"/>
      <c r="P42" s="48"/>
      <c r="Q42" s="48"/>
      <c r="R42" s="48"/>
      <c r="S42" s="48"/>
      <c r="T42" s="48"/>
      <c r="U42" s="48"/>
      <c r="V42" s="48"/>
      <c r="W42" s="49"/>
    </row>
    <row r="43" spans="1:23" ht="16" customHeight="1" x14ac:dyDescent="0.35">
      <c r="A43" s="5" t="s">
        <v>43</v>
      </c>
      <c r="B43" s="7">
        <v>9935</v>
      </c>
      <c r="C43" s="7">
        <v>8841</v>
      </c>
      <c r="D43" s="7">
        <v>14834</v>
      </c>
      <c r="H43" s="47"/>
      <c r="I43" s="48"/>
      <c r="J43" s="48"/>
      <c r="K43" s="48"/>
      <c r="L43" s="48"/>
      <c r="M43" s="48"/>
      <c r="N43" s="48"/>
      <c r="O43" s="48"/>
      <c r="P43" s="48"/>
      <c r="Q43" s="48"/>
      <c r="R43" s="48"/>
      <c r="S43" s="48"/>
      <c r="T43" s="48"/>
      <c r="U43" s="48"/>
      <c r="V43" s="48"/>
      <c r="W43" s="49"/>
    </row>
    <row r="44" spans="1:23" ht="16" customHeight="1" x14ac:dyDescent="0.35">
      <c r="A44" s="5" t="s">
        <v>44</v>
      </c>
      <c r="B44" s="7">
        <v>9536</v>
      </c>
      <c r="C44" s="7">
        <v>9935</v>
      </c>
      <c r="D44" s="7">
        <v>8841</v>
      </c>
      <c r="H44" s="47"/>
      <c r="I44" s="48"/>
      <c r="J44" s="48"/>
      <c r="K44" s="48"/>
      <c r="L44" s="48"/>
      <c r="M44" s="48"/>
      <c r="N44" s="48"/>
      <c r="O44" s="48"/>
      <c r="P44" s="48"/>
      <c r="Q44" s="48"/>
      <c r="R44" s="48"/>
      <c r="S44" s="48"/>
      <c r="T44" s="48"/>
      <c r="U44" s="48"/>
      <c r="V44" s="48"/>
      <c r="W44" s="49"/>
    </row>
    <row r="45" spans="1:23" ht="16" customHeight="1" x14ac:dyDescent="0.35">
      <c r="A45" s="4" t="s">
        <v>45</v>
      </c>
      <c r="B45" s="5" t="s">
        <v>9</v>
      </c>
      <c r="C45" s="5" t="s">
        <v>9</v>
      </c>
      <c r="D45" s="5" t="s">
        <v>9</v>
      </c>
      <c r="H45" s="47"/>
      <c r="I45" s="48"/>
      <c r="J45" s="48"/>
      <c r="K45" s="48"/>
      <c r="L45" s="48"/>
      <c r="M45" s="48"/>
      <c r="N45" s="48"/>
      <c r="O45" s="48"/>
      <c r="P45" s="48"/>
      <c r="Q45" s="48"/>
      <c r="R45" s="48"/>
      <c r="S45" s="48"/>
      <c r="T45" s="48"/>
      <c r="U45" s="48"/>
      <c r="V45" s="48"/>
      <c r="W45" s="49"/>
    </row>
    <row r="46" spans="1:23" ht="16" customHeight="1" x14ac:dyDescent="0.35">
      <c r="A46" s="5" t="s">
        <v>46</v>
      </c>
      <c r="B46" s="7">
        <v>5884</v>
      </c>
      <c r="C46" s="7">
        <v>5879</v>
      </c>
      <c r="D46" s="7">
        <v>3310</v>
      </c>
      <c r="H46" s="47"/>
      <c r="I46" s="48"/>
      <c r="J46" s="48"/>
      <c r="K46" s="48"/>
      <c r="L46" s="48"/>
      <c r="M46" s="48"/>
      <c r="N46" s="48"/>
      <c r="O46" s="48"/>
      <c r="P46" s="48"/>
      <c r="Q46" s="48"/>
      <c r="R46" s="48"/>
      <c r="S46" s="48"/>
      <c r="T46" s="48"/>
      <c r="U46" s="48"/>
      <c r="V46" s="48"/>
      <c r="W46" s="49"/>
    </row>
    <row r="47" spans="1:23" ht="16" customHeight="1" x14ac:dyDescent="0.35">
      <c r="A47" s="5" t="s">
        <v>47</v>
      </c>
      <c r="B47" s="6">
        <v>2739</v>
      </c>
      <c r="C47" s="6">
        <v>2519</v>
      </c>
      <c r="D47" s="6">
        <v>2051</v>
      </c>
      <c r="H47" s="47"/>
      <c r="I47" s="48"/>
      <c r="J47" s="48"/>
      <c r="K47" s="48"/>
      <c r="L47" s="48"/>
      <c r="M47" s="48"/>
      <c r="N47" s="48"/>
      <c r="O47" s="48"/>
      <c r="P47" s="48"/>
      <c r="Q47" s="48"/>
      <c r="R47" s="48"/>
      <c r="S47" s="48"/>
      <c r="T47" s="48"/>
      <c r="U47" s="48"/>
      <c r="V47" s="48"/>
      <c r="W47" s="49"/>
    </row>
    <row r="48" spans="1:23" ht="15" customHeight="1" x14ac:dyDescent="0.35">
      <c r="H48" s="47"/>
      <c r="I48" s="48"/>
      <c r="J48" s="48"/>
      <c r="K48" s="48"/>
      <c r="L48" s="48"/>
      <c r="M48" s="48"/>
      <c r="N48" s="48"/>
      <c r="O48" s="48"/>
      <c r="P48" s="48"/>
      <c r="Q48" s="48"/>
      <c r="R48" s="48"/>
      <c r="S48" s="48"/>
      <c r="T48" s="48"/>
      <c r="U48" s="48"/>
      <c r="V48" s="48"/>
      <c r="W48" s="49"/>
    </row>
    <row r="49" spans="8:23" ht="15" customHeight="1" x14ac:dyDescent="0.35">
      <c r="H49" s="47"/>
      <c r="I49" s="48"/>
      <c r="J49" s="48"/>
      <c r="K49" s="48"/>
      <c r="L49" s="48"/>
      <c r="M49" s="48"/>
      <c r="N49" s="48"/>
      <c r="O49" s="48"/>
      <c r="P49" s="48"/>
      <c r="Q49" s="48"/>
      <c r="R49" s="48"/>
      <c r="S49" s="48"/>
      <c r="T49" s="48"/>
      <c r="U49" s="48"/>
      <c r="V49" s="48"/>
      <c r="W49" s="49"/>
    </row>
    <row r="50" spans="8:23" ht="15" customHeight="1" x14ac:dyDescent="0.35">
      <c r="H50" s="47"/>
      <c r="I50" s="48"/>
      <c r="J50" s="48"/>
      <c r="K50" s="48"/>
      <c r="L50" s="48"/>
      <c r="M50" s="48"/>
      <c r="N50" s="48"/>
      <c r="O50" s="48"/>
      <c r="P50" s="48"/>
      <c r="Q50" s="48"/>
      <c r="R50" s="48"/>
      <c r="S50" s="48"/>
      <c r="T50" s="48"/>
      <c r="U50" s="48"/>
      <c r="V50" s="48"/>
      <c r="W50" s="49"/>
    </row>
    <row r="51" spans="8:23" ht="15" customHeight="1" x14ac:dyDescent="0.35">
      <c r="H51" s="47"/>
      <c r="I51" s="48"/>
      <c r="J51" s="48"/>
      <c r="K51" s="48"/>
      <c r="L51" s="48"/>
      <c r="M51" s="48"/>
      <c r="N51" s="48"/>
      <c r="O51" s="48"/>
      <c r="P51" s="48"/>
      <c r="Q51" s="48"/>
      <c r="R51" s="48"/>
      <c r="S51" s="48"/>
      <c r="T51" s="48"/>
      <c r="U51" s="48"/>
      <c r="V51" s="48"/>
      <c r="W51" s="49"/>
    </row>
    <row r="52" spans="8:23" ht="15" customHeight="1" x14ac:dyDescent="0.35">
      <c r="H52" s="47"/>
      <c r="I52" s="48"/>
      <c r="J52" s="48"/>
      <c r="K52" s="48"/>
      <c r="L52" s="48"/>
      <c r="M52" s="48"/>
      <c r="N52" s="48"/>
      <c r="O52" s="48"/>
      <c r="P52" s="48"/>
      <c r="Q52" s="48"/>
      <c r="R52" s="48"/>
      <c r="S52" s="48"/>
      <c r="T52" s="48"/>
      <c r="U52" s="48"/>
      <c r="V52" s="48"/>
      <c r="W52" s="49"/>
    </row>
    <row r="53" spans="8:23" ht="15" customHeight="1" x14ac:dyDescent="0.35">
      <c r="H53" s="47"/>
      <c r="I53" s="48"/>
      <c r="J53" s="48"/>
      <c r="K53" s="48"/>
      <c r="L53" s="48"/>
      <c r="M53" s="48"/>
      <c r="N53" s="48"/>
      <c r="O53" s="48"/>
      <c r="P53" s="48"/>
      <c r="Q53" s="48"/>
      <c r="R53" s="48"/>
      <c r="S53" s="48"/>
      <c r="T53" s="48"/>
      <c r="U53" s="48"/>
      <c r="V53" s="48"/>
      <c r="W53" s="49"/>
    </row>
    <row r="54" spans="8:23" ht="15" customHeight="1" x14ac:dyDescent="0.35">
      <c r="H54" s="47"/>
      <c r="I54" s="48"/>
      <c r="J54" s="48"/>
      <c r="K54" s="48"/>
      <c r="L54" s="48"/>
      <c r="M54" s="48"/>
      <c r="N54" s="48"/>
      <c r="O54" s="48"/>
      <c r="P54" s="48"/>
      <c r="Q54" s="48"/>
      <c r="R54" s="48"/>
      <c r="S54" s="48"/>
      <c r="T54" s="48"/>
      <c r="U54" s="48"/>
      <c r="V54" s="48"/>
      <c r="W54" s="49"/>
    </row>
    <row r="55" spans="8:23" ht="15" customHeight="1" x14ac:dyDescent="0.35">
      <c r="H55" s="47"/>
      <c r="I55" s="48"/>
      <c r="J55" s="48"/>
      <c r="K55" s="48"/>
      <c r="L55" s="48"/>
      <c r="M55" s="48"/>
      <c r="N55" s="48"/>
      <c r="O55" s="48"/>
      <c r="P55" s="48"/>
      <c r="Q55" s="48"/>
      <c r="R55" s="48"/>
      <c r="S55" s="48"/>
      <c r="T55" s="48"/>
      <c r="U55" s="48"/>
      <c r="V55" s="48"/>
      <c r="W55" s="49"/>
    </row>
    <row r="56" spans="8:23" ht="15" customHeight="1" x14ac:dyDescent="0.35">
      <c r="H56" s="47"/>
      <c r="I56" s="48"/>
      <c r="J56" s="48"/>
      <c r="K56" s="48"/>
      <c r="L56" s="48"/>
      <c r="M56" s="48"/>
      <c r="N56" s="48"/>
      <c r="O56" s="48"/>
      <c r="P56" s="48"/>
      <c r="Q56" s="48"/>
      <c r="R56" s="48"/>
      <c r="S56" s="48"/>
      <c r="T56" s="48"/>
      <c r="U56" s="48"/>
      <c r="V56" s="48"/>
      <c r="W56" s="49"/>
    </row>
    <row r="57" spans="8:23" ht="15" customHeight="1" x14ac:dyDescent="0.35">
      <c r="H57" s="47"/>
      <c r="I57" s="48"/>
      <c r="J57" s="48"/>
      <c r="K57" s="48"/>
      <c r="L57" s="48"/>
      <c r="M57" s="48"/>
      <c r="N57" s="48"/>
      <c r="O57" s="48"/>
      <c r="P57" s="48"/>
      <c r="Q57" s="48"/>
      <c r="R57" s="48"/>
      <c r="S57" s="48"/>
      <c r="T57" s="48"/>
      <c r="U57" s="48"/>
      <c r="V57" s="48"/>
      <c r="W57" s="49"/>
    </row>
    <row r="58" spans="8:23" ht="15" customHeight="1" x14ac:dyDescent="0.35">
      <c r="H58" s="47"/>
      <c r="I58" s="48"/>
      <c r="J58" s="48"/>
      <c r="K58" s="48"/>
      <c r="L58" s="48"/>
      <c r="M58" s="48"/>
      <c r="N58" s="48"/>
      <c r="O58" s="48"/>
      <c r="P58" s="48"/>
      <c r="Q58" s="48"/>
      <c r="R58" s="48"/>
      <c r="S58" s="48"/>
      <c r="T58" s="48"/>
      <c r="U58" s="48"/>
      <c r="V58" s="48"/>
      <c r="W58" s="49"/>
    </row>
    <row r="59" spans="8:23" ht="15" customHeight="1" x14ac:dyDescent="0.35">
      <c r="H59" s="47"/>
      <c r="I59" s="48"/>
      <c r="J59" s="48"/>
      <c r="K59" s="48"/>
      <c r="L59" s="48"/>
      <c r="M59" s="48"/>
      <c r="N59" s="48"/>
      <c r="O59" s="48"/>
      <c r="P59" s="48"/>
      <c r="Q59" s="48"/>
      <c r="R59" s="48"/>
      <c r="S59" s="48"/>
      <c r="T59" s="48"/>
      <c r="U59" s="48"/>
      <c r="V59" s="48"/>
      <c r="W59" s="49"/>
    </row>
    <row r="60" spans="8:23" ht="15" customHeight="1" x14ac:dyDescent="0.35">
      <c r="H60" s="47"/>
      <c r="I60" s="48"/>
      <c r="J60" s="48"/>
      <c r="K60" s="48"/>
      <c r="L60" s="48"/>
      <c r="M60" s="48"/>
      <c r="N60" s="48"/>
      <c r="O60" s="48"/>
      <c r="P60" s="48"/>
      <c r="Q60" s="48"/>
      <c r="R60" s="48"/>
      <c r="S60" s="48"/>
      <c r="T60" s="48"/>
      <c r="U60" s="48"/>
      <c r="V60" s="48"/>
      <c r="W60" s="49"/>
    </row>
    <row r="61" spans="8:23" ht="15" customHeight="1" x14ac:dyDescent="0.35">
      <c r="H61" s="47"/>
      <c r="I61" s="48"/>
      <c r="J61" s="48"/>
      <c r="K61" s="48"/>
      <c r="L61" s="48"/>
      <c r="M61" s="48"/>
      <c r="N61" s="48"/>
      <c r="O61" s="48"/>
      <c r="P61" s="48"/>
      <c r="Q61" s="48"/>
      <c r="R61" s="48"/>
      <c r="S61" s="48"/>
      <c r="T61" s="48"/>
      <c r="U61" s="48"/>
      <c r="V61" s="48"/>
      <c r="W61" s="49"/>
    </row>
    <row r="62" spans="8:23" ht="15" customHeight="1" x14ac:dyDescent="0.35">
      <c r="H62" s="47"/>
      <c r="I62" s="48"/>
      <c r="J62" s="48"/>
      <c r="K62" s="48"/>
      <c r="L62" s="48"/>
      <c r="M62" s="48"/>
      <c r="N62" s="48"/>
      <c r="O62" s="48"/>
      <c r="P62" s="48"/>
      <c r="Q62" s="48"/>
      <c r="R62" s="48"/>
      <c r="S62" s="48"/>
      <c r="T62" s="48"/>
      <c r="U62" s="48"/>
      <c r="V62" s="48"/>
      <c r="W62" s="49"/>
    </row>
    <row r="63" spans="8:23" ht="15" customHeight="1" x14ac:dyDescent="0.35">
      <c r="H63" s="47"/>
      <c r="I63" s="48"/>
      <c r="J63" s="48"/>
      <c r="K63" s="48"/>
      <c r="L63" s="48"/>
      <c r="M63" s="48"/>
      <c r="N63" s="48"/>
      <c r="O63" s="48"/>
      <c r="P63" s="48"/>
      <c r="Q63" s="48"/>
      <c r="R63" s="48"/>
      <c r="S63" s="48"/>
      <c r="T63" s="48"/>
      <c r="U63" s="48"/>
      <c r="V63" s="48"/>
      <c r="W63" s="49"/>
    </row>
    <row r="64" spans="8:23" ht="15" customHeight="1" x14ac:dyDescent="0.35">
      <c r="H64" s="47"/>
      <c r="I64" s="48"/>
      <c r="J64" s="48"/>
      <c r="K64" s="48"/>
      <c r="L64" s="48"/>
      <c r="M64" s="48"/>
      <c r="N64" s="48"/>
      <c r="O64" s="48"/>
      <c r="P64" s="48"/>
      <c r="Q64" s="48"/>
      <c r="R64" s="48"/>
      <c r="S64" s="48"/>
      <c r="T64" s="48"/>
      <c r="U64" s="48"/>
      <c r="V64" s="48"/>
      <c r="W64" s="49"/>
    </row>
    <row r="65" spans="8:23" ht="15" customHeight="1" x14ac:dyDescent="0.35">
      <c r="H65" s="47"/>
      <c r="I65" s="48"/>
      <c r="J65" s="48"/>
      <c r="K65" s="48"/>
      <c r="L65" s="48"/>
      <c r="M65" s="48"/>
      <c r="N65" s="48"/>
      <c r="O65" s="48"/>
      <c r="P65" s="48"/>
      <c r="Q65" s="48"/>
      <c r="R65" s="48"/>
      <c r="S65" s="48"/>
      <c r="T65" s="48"/>
      <c r="U65" s="48"/>
      <c r="V65" s="48"/>
      <c r="W65" s="49"/>
    </row>
    <row r="66" spans="8:23" ht="15" customHeight="1" x14ac:dyDescent="0.35">
      <c r="H66" s="47"/>
      <c r="I66" s="48"/>
      <c r="J66" s="48"/>
      <c r="K66" s="48"/>
      <c r="L66" s="48"/>
      <c r="M66" s="48"/>
      <c r="N66" s="48"/>
      <c r="O66" s="48"/>
      <c r="P66" s="48"/>
      <c r="Q66" s="48"/>
      <c r="R66" s="48"/>
      <c r="S66" s="48"/>
      <c r="T66" s="48"/>
      <c r="U66" s="48"/>
      <c r="V66" s="48"/>
      <c r="W66" s="49"/>
    </row>
    <row r="67" spans="8:23" ht="15" customHeight="1" x14ac:dyDescent="0.35">
      <c r="H67" s="47"/>
      <c r="I67" s="48"/>
      <c r="J67" s="48"/>
      <c r="K67" s="48"/>
      <c r="L67" s="48"/>
      <c r="M67" s="48"/>
      <c r="N67" s="48"/>
      <c r="O67" s="48"/>
      <c r="P67" s="48"/>
      <c r="Q67" s="48"/>
      <c r="R67" s="48"/>
      <c r="S67" s="48"/>
      <c r="T67" s="48"/>
      <c r="U67" s="48"/>
      <c r="V67" s="48"/>
      <c r="W67" s="49"/>
    </row>
    <row r="68" spans="8:23" ht="15" customHeight="1" x14ac:dyDescent="0.35">
      <c r="H68" s="47"/>
      <c r="I68" s="48"/>
      <c r="J68" s="48"/>
      <c r="K68" s="48"/>
      <c r="L68" s="48"/>
      <c r="M68" s="48"/>
      <c r="N68" s="48"/>
      <c r="O68" s="48"/>
      <c r="P68" s="48"/>
      <c r="Q68" s="48"/>
      <c r="R68" s="48"/>
      <c r="S68" s="48"/>
      <c r="T68" s="48"/>
      <c r="U68" s="48"/>
      <c r="V68" s="48"/>
      <c r="W68" s="49"/>
    </row>
    <row r="69" spans="8:23" x14ac:dyDescent="0.35">
      <c r="H69" s="47"/>
      <c r="I69" s="48"/>
      <c r="J69" s="48"/>
      <c r="K69" s="48"/>
      <c r="L69" s="48"/>
      <c r="M69" s="48"/>
      <c r="N69" s="48"/>
      <c r="O69" s="48"/>
      <c r="P69" s="48"/>
      <c r="Q69" s="48"/>
      <c r="R69" s="48"/>
      <c r="S69" s="48"/>
      <c r="T69" s="48"/>
      <c r="U69" s="48"/>
      <c r="V69" s="48"/>
      <c r="W69" s="49"/>
    </row>
    <row r="70" spans="8:23" x14ac:dyDescent="0.35">
      <c r="H70" s="47"/>
      <c r="I70" s="48"/>
      <c r="J70" s="48"/>
      <c r="K70" s="48"/>
      <c r="L70" s="48"/>
      <c r="M70" s="48"/>
      <c r="N70" s="48"/>
      <c r="O70" s="48"/>
      <c r="P70" s="48"/>
      <c r="Q70" s="48"/>
      <c r="R70" s="48"/>
      <c r="S70" s="48"/>
      <c r="T70" s="48"/>
      <c r="U70" s="48"/>
      <c r="V70" s="48"/>
      <c r="W70" s="49"/>
    </row>
    <row r="71" spans="8:23" x14ac:dyDescent="0.35">
      <c r="H71" s="47"/>
      <c r="I71" s="48"/>
      <c r="J71" s="48"/>
      <c r="K71" s="48"/>
      <c r="L71" s="48"/>
      <c r="M71" s="48"/>
      <c r="N71" s="48"/>
      <c r="O71" s="48"/>
      <c r="P71" s="48"/>
      <c r="Q71" s="48"/>
      <c r="R71" s="48"/>
      <c r="S71" s="48"/>
      <c r="T71" s="48"/>
      <c r="U71" s="48"/>
      <c r="V71" s="48"/>
      <c r="W71" s="49"/>
    </row>
    <row r="72" spans="8:23" x14ac:dyDescent="0.35">
      <c r="H72" s="47"/>
      <c r="I72" s="48"/>
      <c r="J72" s="48"/>
      <c r="K72" s="48"/>
      <c r="L72" s="48"/>
      <c r="M72" s="48"/>
      <c r="N72" s="48"/>
      <c r="O72" s="48"/>
      <c r="P72" s="48"/>
      <c r="Q72" s="48"/>
      <c r="R72" s="48"/>
      <c r="S72" s="48"/>
      <c r="T72" s="48"/>
      <c r="U72" s="48"/>
      <c r="V72" s="48"/>
      <c r="W72" s="49"/>
    </row>
    <row r="73" spans="8:23" ht="15" thickBot="1" x14ac:dyDescent="0.4">
      <c r="H73" s="50"/>
      <c r="I73" s="51"/>
      <c r="J73" s="51"/>
      <c r="K73" s="51"/>
      <c r="L73" s="51"/>
      <c r="M73" s="51"/>
      <c r="N73" s="51"/>
      <c r="O73" s="51"/>
      <c r="P73" s="51"/>
      <c r="Q73" s="51"/>
      <c r="R73" s="51"/>
      <c r="S73" s="51"/>
      <c r="T73" s="51"/>
      <c r="U73" s="51"/>
      <c r="V73" s="51"/>
      <c r="W73" s="52"/>
    </row>
  </sheetData>
  <mergeCells count="4">
    <mergeCell ref="A5:L5"/>
    <mergeCell ref="A7:A8"/>
    <mergeCell ref="B7:D7"/>
    <mergeCell ref="H7:W73"/>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73C84-682E-4DFA-B686-D89AED57DEB2}">
  <dimension ref="A2:AE108"/>
  <sheetViews>
    <sheetView zoomScale="80" zoomScaleNormal="80" workbookViewId="0">
      <selection activeCell="O36" sqref="O36"/>
    </sheetView>
  </sheetViews>
  <sheetFormatPr defaultColWidth="8.81640625" defaultRowHeight="14.5" x14ac:dyDescent="0.35"/>
  <cols>
    <col min="1" max="1" width="68.1796875" customWidth="1"/>
    <col min="2" max="2" width="13.36328125" customWidth="1"/>
    <col min="3" max="3" width="12.453125" customWidth="1"/>
    <col min="4" max="4" width="12" customWidth="1"/>
    <col min="6" max="6" width="18.36328125" bestFit="1" customWidth="1"/>
    <col min="7" max="7" width="11.36328125" customWidth="1"/>
    <col min="9" max="9" width="11" customWidth="1"/>
    <col min="10" max="10" width="10.81640625" customWidth="1"/>
    <col min="12" max="12" width="13" customWidth="1"/>
    <col min="13" max="13" width="12.453125" customWidth="1"/>
    <col min="14" max="14" width="12.81640625" customWidth="1"/>
    <col min="17" max="17" width="153.6328125" customWidth="1"/>
  </cols>
  <sheetData>
    <row r="2" spans="1:31" x14ac:dyDescent="0.35">
      <c r="D2" s="1" t="s">
        <v>0</v>
      </c>
      <c r="E2" s="1">
        <f>SUM(F2:G2)</f>
        <v>6</v>
      </c>
      <c r="F2" s="1">
        <v>3</v>
      </c>
      <c r="G2" s="1">
        <v>3</v>
      </c>
    </row>
    <row r="3" spans="1:31" x14ac:dyDescent="0.35">
      <c r="D3" s="1" t="s">
        <v>1</v>
      </c>
      <c r="E3" s="1">
        <f>SUM(F3:G3)</f>
        <v>0</v>
      </c>
      <c r="F3" s="1">
        <v>0</v>
      </c>
      <c r="G3" s="1">
        <v>0</v>
      </c>
    </row>
    <row r="5" spans="1:31" x14ac:dyDescent="0.35">
      <c r="A5" s="40" t="s">
        <v>2</v>
      </c>
      <c r="B5" s="40"/>
      <c r="C5" s="40"/>
      <c r="D5" s="40"/>
      <c r="E5" s="40"/>
      <c r="F5" s="40"/>
      <c r="G5" s="40"/>
      <c r="H5" s="40"/>
      <c r="I5" s="40"/>
      <c r="J5" s="40"/>
      <c r="K5" s="40"/>
      <c r="L5" s="40"/>
    </row>
    <row r="6" spans="1:31" ht="19" thickBot="1" x14ac:dyDescent="0.4">
      <c r="Q6" s="13"/>
    </row>
    <row r="7" spans="1:31" ht="15" customHeight="1" x14ac:dyDescent="0.35">
      <c r="A7" s="41" t="s">
        <v>49</v>
      </c>
      <c r="B7" s="43" t="s">
        <v>4</v>
      </c>
      <c r="C7" s="42"/>
      <c r="D7" s="42"/>
      <c r="F7" s="56" t="s">
        <v>109</v>
      </c>
      <c r="G7" s="57"/>
      <c r="H7" s="1"/>
      <c r="I7" s="1" t="s">
        <v>109</v>
      </c>
      <c r="J7" s="1"/>
      <c r="L7" s="56" t="s">
        <v>112</v>
      </c>
      <c r="M7" s="58"/>
      <c r="N7" s="57"/>
      <c r="P7" s="12"/>
      <c r="Q7" s="53" t="s">
        <v>117</v>
      </c>
      <c r="R7" s="12"/>
      <c r="S7" s="12"/>
      <c r="T7" s="12"/>
      <c r="U7" s="12"/>
      <c r="V7" s="12"/>
      <c r="W7" s="12"/>
      <c r="X7" s="12"/>
      <c r="Y7" s="12"/>
      <c r="Z7" s="12"/>
      <c r="AA7" s="12"/>
      <c r="AB7" s="12"/>
      <c r="AC7" s="12"/>
      <c r="AD7" s="12"/>
      <c r="AE7" s="12"/>
    </row>
    <row r="8" spans="1:31" ht="16" customHeight="1" x14ac:dyDescent="0.35">
      <c r="A8" s="42"/>
      <c r="B8" s="3" t="s">
        <v>50</v>
      </c>
      <c r="C8" s="3" t="s">
        <v>51</v>
      </c>
      <c r="D8" s="3" t="s">
        <v>52</v>
      </c>
      <c r="F8" s="3" t="s">
        <v>111</v>
      </c>
      <c r="G8" s="3" t="s">
        <v>110</v>
      </c>
      <c r="I8" s="3" t="s">
        <v>111</v>
      </c>
      <c r="J8" s="3" t="s">
        <v>110</v>
      </c>
      <c r="L8" s="3" t="s">
        <v>50</v>
      </c>
      <c r="M8" s="3" t="s">
        <v>51</v>
      </c>
      <c r="N8" s="3" t="s">
        <v>52</v>
      </c>
      <c r="P8" s="12"/>
      <c r="Q8" s="54"/>
      <c r="R8" s="12"/>
      <c r="S8" s="12"/>
      <c r="T8" s="12"/>
      <c r="U8" s="12"/>
      <c r="V8" s="12"/>
      <c r="W8" s="12"/>
      <c r="X8" s="12"/>
      <c r="Y8" s="12"/>
      <c r="Z8" s="12"/>
      <c r="AA8" s="12"/>
      <c r="AB8" s="12"/>
      <c r="AC8" s="12"/>
      <c r="AD8" s="12"/>
      <c r="AE8" s="12"/>
    </row>
    <row r="9" spans="1:31" ht="16" customHeight="1" x14ac:dyDescent="0.35">
      <c r="A9" s="4" t="s">
        <v>53</v>
      </c>
      <c r="B9" s="5" t="s">
        <v>9</v>
      </c>
      <c r="C9" s="5" t="s">
        <v>9</v>
      </c>
      <c r="D9" s="5" t="s">
        <v>9</v>
      </c>
      <c r="P9" s="12"/>
      <c r="Q9" s="54"/>
      <c r="R9" s="12"/>
      <c r="S9" s="12"/>
      <c r="T9" s="12"/>
      <c r="U9" s="12"/>
      <c r="V9" s="12"/>
      <c r="W9" s="12"/>
      <c r="X9" s="12"/>
      <c r="Y9" s="12"/>
      <c r="Z9" s="12"/>
      <c r="AA9" s="12"/>
      <c r="AB9" s="12"/>
      <c r="AC9" s="12"/>
      <c r="AD9" s="12"/>
      <c r="AE9" s="12"/>
    </row>
    <row r="10" spans="1:31" ht="16" customHeight="1" x14ac:dyDescent="0.35">
      <c r="A10" s="5" t="s">
        <v>54</v>
      </c>
      <c r="B10" s="6">
        <v>184992</v>
      </c>
      <c r="C10" s="6">
        <v>176191</v>
      </c>
      <c r="D10" s="6">
        <v>158057</v>
      </c>
      <c r="F10" s="10">
        <f>B10-C10</f>
        <v>8801</v>
      </c>
      <c r="G10" s="10">
        <f>C10-D10</f>
        <v>18134</v>
      </c>
      <c r="I10" s="11">
        <f>F10/C10</f>
        <v>4.9951473117242087E-2</v>
      </c>
      <c r="J10" s="11">
        <f>G10/D10</f>
        <v>0.11473076168723942</v>
      </c>
      <c r="L10" s="11">
        <f>B10/B$10</f>
        <v>1</v>
      </c>
      <c r="M10" s="11">
        <f t="shared" ref="M10:N10" si="0">C10/C$10</f>
        <v>1</v>
      </c>
      <c r="N10" s="11">
        <f t="shared" si="0"/>
        <v>1</v>
      </c>
      <c r="P10" s="12"/>
      <c r="Q10" s="54"/>
      <c r="R10" s="12"/>
      <c r="S10" s="12"/>
      <c r="T10" s="12"/>
      <c r="U10" s="12"/>
      <c r="V10" s="12"/>
      <c r="W10" s="12"/>
      <c r="X10" s="12"/>
      <c r="Y10" s="12"/>
      <c r="Z10" s="12"/>
      <c r="AA10" s="12"/>
      <c r="AB10" s="12"/>
      <c r="AC10" s="12"/>
      <c r="AD10" s="12"/>
      <c r="AE10" s="12"/>
    </row>
    <row r="11" spans="1:31" ht="16" customHeight="1" x14ac:dyDescent="0.35">
      <c r="A11" s="4" t="s">
        <v>55</v>
      </c>
      <c r="B11" s="5" t="s">
        <v>9</v>
      </c>
      <c r="C11" s="5" t="s">
        <v>9</v>
      </c>
      <c r="D11" s="5" t="s">
        <v>9</v>
      </c>
      <c r="F11" s="10"/>
      <c r="G11" s="10"/>
      <c r="I11" s="11"/>
      <c r="J11" s="11"/>
      <c r="L11" s="11"/>
      <c r="M11" s="11"/>
      <c r="N11" s="11"/>
      <c r="P11" s="12"/>
      <c r="Q11" s="54"/>
      <c r="R11" s="12"/>
      <c r="S11" s="12"/>
      <c r="T11" s="12"/>
      <c r="U11" s="12"/>
      <c r="V11" s="12"/>
      <c r="W11" s="12"/>
      <c r="X11" s="12"/>
      <c r="Y11" s="12"/>
      <c r="Z11" s="12"/>
      <c r="AA11" s="12"/>
      <c r="AB11" s="12"/>
      <c r="AC11" s="12"/>
      <c r="AD11" s="12"/>
      <c r="AE11" s="12"/>
    </row>
    <row r="12" spans="1:31" ht="16" customHeight="1" x14ac:dyDescent="0.35">
      <c r="A12" s="5" t="s">
        <v>56</v>
      </c>
      <c r="B12" s="7">
        <v>158434</v>
      </c>
      <c r="C12" s="7">
        <v>150550</v>
      </c>
      <c r="D12" s="7">
        <v>134397</v>
      </c>
      <c r="F12" s="10">
        <f t="shared" ref="F12:F37" si="1">B12-C12</f>
        <v>7884</v>
      </c>
      <c r="G12" s="10">
        <f t="shared" ref="G12:G37" si="2">C12-D12</f>
        <v>16153</v>
      </c>
      <c r="I12" s="11">
        <f t="shared" ref="I12:I37" si="3">F12/C12</f>
        <v>5.236798405845234E-2</v>
      </c>
      <c r="J12" s="11">
        <f t="shared" ref="J12:J37" si="4">G12/D12</f>
        <v>0.12018869468812549</v>
      </c>
      <c r="L12" s="11">
        <f t="shared" ref="L12:L37" si="5">B12/B$10</f>
        <v>0.856437035115032</v>
      </c>
      <c r="M12" s="11">
        <f t="shared" ref="M12:M37" si="6">C12/C$10</f>
        <v>0.85447043265547051</v>
      </c>
      <c r="N12" s="11">
        <f t="shared" ref="N12:N37" si="7">D12/D$10</f>
        <v>0.85030716766736048</v>
      </c>
      <c r="P12" s="12"/>
      <c r="Q12" s="54"/>
      <c r="R12" s="12"/>
      <c r="S12" s="12"/>
      <c r="T12" s="12"/>
      <c r="U12" s="12"/>
      <c r="V12" s="12"/>
      <c r="W12" s="12"/>
      <c r="X12" s="12"/>
      <c r="Y12" s="12"/>
      <c r="Z12" s="12"/>
      <c r="AA12" s="12"/>
      <c r="AB12" s="12"/>
      <c r="AC12" s="12"/>
      <c r="AD12" s="12"/>
      <c r="AE12" s="12"/>
    </row>
    <row r="13" spans="1:31" ht="16" customHeight="1" x14ac:dyDescent="0.35">
      <c r="A13" s="5" t="s">
        <v>57</v>
      </c>
      <c r="B13" s="7">
        <v>10287</v>
      </c>
      <c r="C13" s="7">
        <v>10702</v>
      </c>
      <c r="D13" s="7">
        <v>10888</v>
      </c>
      <c r="F13" s="10">
        <f t="shared" si="1"/>
        <v>-415</v>
      </c>
      <c r="G13" s="10">
        <f t="shared" si="2"/>
        <v>-186</v>
      </c>
      <c r="I13" s="11">
        <f t="shared" si="3"/>
        <v>-3.8777798542328538E-2</v>
      </c>
      <c r="J13" s="11">
        <f t="shared" si="4"/>
        <v>-1.7083027185892725E-2</v>
      </c>
      <c r="L13" s="11">
        <f t="shared" si="5"/>
        <v>5.5607810067462377E-2</v>
      </c>
      <c r="M13" s="11">
        <f t="shared" si="6"/>
        <v>6.0740900500025542E-2</v>
      </c>
      <c r="N13" s="11">
        <f t="shared" si="7"/>
        <v>6.8886540931436133E-2</v>
      </c>
      <c r="P13" s="12"/>
      <c r="Q13" s="54"/>
      <c r="R13" s="12"/>
      <c r="S13" s="12"/>
      <c r="T13" s="12"/>
      <c r="U13" s="12"/>
      <c r="V13" s="12"/>
      <c r="W13" s="12"/>
      <c r="X13" s="12"/>
      <c r="Y13" s="12"/>
      <c r="Z13" s="12"/>
      <c r="AA13" s="12"/>
      <c r="AB13" s="12"/>
      <c r="AC13" s="12"/>
      <c r="AD13" s="12"/>
      <c r="AE13" s="12"/>
    </row>
    <row r="14" spans="1:31" ht="16" customHeight="1" x14ac:dyDescent="0.35">
      <c r="A14" s="5" t="s">
        <v>58</v>
      </c>
      <c r="B14" s="7">
        <v>179773</v>
      </c>
      <c r="C14" s="7">
        <v>170733</v>
      </c>
      <c r="D14" s="7">
        <v>151781</v>
      </c>
      <c r="F14" s="10">
        <f t="shared" si="1"/>
        <v>9040</v>
      </c>
      <c r="G14" s="10">
        <f t="shared" si="2"/>
        <v>18952</v>
      </c>
      <c r="I14" s="11">
        <f t="shared" si="3"/>
        <v>5.2948170535280233E-2</v>
      </c>
      <c r="J14" s="11">
        <f t="shared" si="4"/>
        <v>0.12486411342658171</v>
      </c>
      <c r="L14" s="11">
        <f t="shared" si="5"/>
        <v>0.9717879692094793</v>
      </c>
      <c r="M14" s="11">
        <f t="shared" si="6"/>
        <v>0.96902225425816302</v>
      </c>
      <c r="N14" s="11">
        <f t="shared" si="7"/>
        <v>0.96029280575994735</v>
      </c>
      <c r="P14" s="12"/>
      <c r="Q14" s="54"/>
      <c r="R14" s="12"/>
      <c r="S14" s="12"/>
      <c r="T14" s="12"/>
      <c r="U14" s="12"/>
      <c r="V14" s="12"/>
      <c r="W14" s="12"/>
      <c r="X14" s="12"/>
      <c r="Y14" s="12"/>
      <c r="Z14" s="12"/>
      <c r="AA14" s="12"/>
      <c r="AB14" s="12"/>
      <c r="AC14" s="12"/>
      <c r="AD14" s="12"/>
      <c r="AE14" s="12"/>
    </row>
    <row r="15" spans="1:31" ht="16" customHeight="1" x14ac:dyDescent="0.35">
      <c r="A15" s="5" t="s">
        <v>59</v>
      </c>
      <c r="B15" s="7">
        <v>5219</v>
      </c>
      <c r="C15" s="7">
        <v>5458</v>
      </c>
      <c r="D15" s="7">
        <v>6276</v>
      </c>
      <c r="F15" s="10">
        <f t="shared" si="1"/>
        <v>-239</v>
      </c>
      <c r="G15" s="10">
        <f t="shared" si="2"/>
        <v>-818</v>
      </c>
      <c r="I15" s="11">
        <f t="shared" si="3"/>
        <v>-4.3788933675338954E-2</v>
      </c>
      <c r="J15" s="11">
        <f t="shared" si="4"/>
        <v>-0.13033779477374124</v>
      </c>
      <c r="L15" s="11">
        <f t="shared" si="5"/>
        <v>2.8212030790520672E-2</v>
      </c>
      <c r="M15" s="11">
        <f t="shared" si="6"/>
        <v>3.0977745741836985E-2</v>
      </c>
      <c r="N15" s="11">
        <f t="shared" si="7"/>
        <v>3.9707194240052639E-2</v>
      </c>
      <c r="P15" s="12"/>
      <c r="Q15" s="54"/>
      <c r="R15" s="12"/>
      <c r="S15" s="12"/>
      <c r="T15" s="12"/>
      <c r="U15" s="12"/>
      <c r="V15" s="12"/>
      <c r="W15" s="12"/>
      <c r="X15" s="12"/>
      <c r="Y15" s="12"/>
      <c r="Z15" s="12"/>
      <c r="AA15" s="12"/>
      <c r="AB15" s="12"/>
      <c r="AC15" s="12"/>
      <c r="AD15" s="12"/>
      <c r="AE15" s="12"/>
    </row>
    <row r="16" spans="1:31" ht="16" customHeight="1" x14ac:dyDescent="0.35">
      <c r="A16" s="5" t="s">
        <v>60</v>
      </c>
      <c r="B16" s="7">
        <v>1115</v>
      </c>
      <c r="C16" s="7">
        <v>1302</v>
      </c>
      <c r="D16" s="7">
        <v>1259</v>
      </c>
      <c r="F16" s="10">
        <f t="shared" si="1"/>
        <v>-187</v>
      </c>
      <c r="G16" s="10">
        <f t="shared" si="2"/>
        <v>43</v>
      </c>
      <c r="I16" s="11">
        <f t="shared" si="3"/>
        <v>-0.14362519201228879</v>
      </c>
      <c r="J16" s="11">
        <f t="shared" si="4"/>
        <v>3.415409054805401E-2</v>
      </c>
      <c r="L16" s="11">
        <f t="shared" si="5"/>
        <v>6.0272876664936859E-3</v>
      </c>
      <c r="M16" s="11">
        <f t="shared" si="6"/>
        <v>7.3897077603282801E-3</v>
      </c>
      <c r="N16" s="11">
        <f t="shared" si="7"/>
        <v>7.9654808075567667E-3</v>
      </c>
      <c r="P16" s="12"/>
      <c r="Q16" s="54"/>
      <c r="R16" s="12"/>
      <c r="S16" s="12"/>
      <c r="T16" s="12"/>
      <c r="U16" s="12"/>
      <c r="V16" s="12"/>
      <c r="W16" s="12"/>
      <c r="X16" s="12"/>
      <c r="Y16" s="12"/>
      <c r="Z16" s="12"/>
      <c r="AA16" s="12"/>
      <c r="AB16" s="12"/>
      <c r="AC16" s="12"/>
      <c r="AD16" s="12"/>
      <c r="AE16" s="12"/>
    </row>
    <row r="17" spans="1:31" ht="16" customHeight="1" x14ac:dyDescent="0.35">
      <c r="A17" s="5" t="s">
        <v>61</v>
      </c>
      <c r="B17" s="7">
        <v>2451</v>
      </c>
      <c r="C17" s="7">
        <v>-603</v>
      </c>
      <c r="D17" s="7">
        <v>-5150</v>
      </c>
      <c r="F17" s="10">
        <f t="shared" si="1"/>
        <v>3054</v>
      </c>
      <c r="G17" s="10">
        <f t="shared" si="2"/>
        <v>4547</v>
      </c>
      <c r="I17" s="11">
        <f t="shared" si="3"/>
        <v>-5.0646766169154231</v>
      </c>
      <c r="J17" s="11">
        <f t="shared" si="4"/>
        <v>-0.88291262135922333</v>
      </c>
      <c r="L17" s="11">
        <f t="shared" si="5"/>
        <v>1.3249221587960561E-2</v>
      </c>
      <c r="M17" s="11">
        <f t="shared" si="6"/>
        <v>-3.4224222576635585E-3</v>
      </c>
      <c r="N17" s="11">
        <f t="shared" si="7"/>
        <v>-3.2583182016614261E-2</v>
      </c>
      <c r="P17" s="12"/>
      <c r="Q17" s="54"/>
      <c r="R17" s="12"/>
      <c r="S17" s="12"/>
      <c r="T17" s="12"/>
      <c r="U17" s="12"/>
      <c r="V17" s="12"/>
      <c r="W17" s="12"/>
      <c r="X17" s="12"/>
      <c r="Y17" s="12"/>
      <c r="Z17" s="12"/>
      <c r="AA17" s="12"/>
      <c r="AB17" s="12"/>
      <c r="AC17" s="12"/>
      <c r="AD17" s="12"/>
      <c r="AE17" s="12"/>
    </row>
    <row r="18" spans="1:31" ht="16" customHeight="1" x14ac:dyDescent="0.35">
      <c r="A18" s="5" t="s">
        <v>62</v>
      </c>
      <c r="B18" s="7">
        <v>678</v>
      </c>
      <c r="C18" s="7">
        <v>414</v>
      </c>
      <c r="D18" s="7">
        <v>-2883</v>
      </c>
      <c r="F18" s="10">
        <f t="shared" si="1"/>
        <v>264</v>
      </c>
      <c r="G18" s="10">
        <f t="shared" si="2"/>
        <v>3297</v>
      </c>
      <c r="I18" s="11">
        <f t="shared" si="3"/>
        <v>0.6376811594202898</v>
      </c>
      <c r="J18" s="11">
        <f t="shared" si="4"/>
        <v>-1.1436004162330906</v>
      </c>
      <c r="L18" s="11">
        <f t="shared" si="5"/>
        <v>3.6650233523611831E-3</v>
      </c>
      <c r="M18" s="11">
        <f t="shared" si="6"/>
        <v>2.3497227440675175E-3</v>
      </c>
      <c r="N18" s="11">
        <f t="shared" si="7"/>
        <v>-1.8240255097844448E-2</v>
      </c>
      <c r="P18" s="12"/>
      <c r="Q18" s="54"/>
      <c r="R18" s="12"/>
      <c r="S18" s="12"/>
      <c r="T18" s="12"/>
      <c r="U18" s="12"/>
      <c r="V18" s="12"/>
      <c r="W18" s="12"/>
      <c r="X18" s="12"/>
      <c r="Y18" s="12"/>
      <c r="Z18" s="12"/>
      <c r="AA18" s="12"/>
      <c r="AB18" s="12"/>
      <c r="AC18" s="12"/>
      <c r="AD18" s="12"/>
      <c r="AE18" s="12"/>
    </row>
    <row r="19" spans="1:31" ht="16" customHeight="1" x14ac:dyDescent="0.35">
      <c r="A19" s="5" t="s">
        <v>63</v>
      </c>
      <c r="B19" s="7">
        <v>7233</v>
      </c>
      <c r="C19" s="7">
        <v>3967</v>
      </c>
      <c r="D19" s="7">
        <v>-3016</v>
      </c>
      <c r="F19" s="10">
        <f t="shared" si="1"/>
        <v>3266</v>
      </c>
      <c r="G19" s="10">
        <f t="shared" si="2"/>
        <v>6983</v>
      </c>
      <c r="I19" s="11">
        <f t="shared" si="3"/>
        <v>0.82329216032266195</v>
      </c>
      <c r="J19" s="11">
        <f t="shared" si="4"/>
        <v>-2.3153183023872681</v>
      </c>
      <c r="L19" s="11">
        <f t="shared" si="5"/>
        <v>3.9098988064348729E-2</v>
      </c>
      <c r="M19" s="11">
        <f t="shared" si="6"/>
        <v>2.2515338467912663E-2</v>
      </c>
      <c r="N19" s="11">
        <f t="shared" si="7"/>
        <v>-1.9081723681962835E-2</v>
      </c>
      <c r="P19" s="12"/>
      <c r="Q19" s="54"/>
      <c r="R19" s="12"/>
      <c r="S19" s="12"/>
      <c r="T19" s="12"/>
      <c r="U19" s="12"/>
      <c r="V19" s="12"/>
      <c r="W19" s="12"/>
      <c r="X19" s="12"/>
      <c r="Y19" s="12"/>
      <c r="Z19" s="12"/>
      <c r="AA19" s="12"/>
      <c r="AB19" s="12"/>
      <c r="AC19" s="12"/>
      <c r="AD19" s="12"/>
      <c r="AE19" s="12"/>
    </row>
    <row r="20" spans="1:31" ht="16" customHeight="1" x14ac:dyDescent="0.35">
      <c r="A20" s="5" t="s">
        <v>64</v>
      </c>
      <c r="B20" s="7">
        <v>1339</v>
      </c>
      <c r="C20" s="7">
        <v>-362</v>
      </c>
      <c r="D20" s="7">
        <v>-864</v>
      </c>
      <c r="F20" s="10">
        <f t="shared" si="1"/>
        <v>1701</v>
      </c>
      <c r="G20" s="10">
        <f t="shared" si="2"/>
        <v>502</v>
      </c>
      <c r="I20" s="11">
        <f t="shared" si="3"/>
        <v>-4.6988950276243093</v>
      </c>
      <c r="J20" s="11">
        <f t="shared" si="4"/>
        <v>-0.58101851851851849</v>
      </c>
      <c r="L20" s="11">
        <f t="shared" si="5"/>
        <v>7.2381508389551983E-3</v>
      </c>
      <c r="M20" s="11">
        <f t="shared" si="6"/>
        <v>-2.0545884863585541E-3</v>
      </c>
      <c r="N20" s="11">
        <f t="shared" si="7"/>
        <v>-5.4663823810397515E-3</v>
      </c>
      <c r="P20" s="12"/>
      <c r="Q20" s="54"/>
      <c r="R20" s="12"/>
      <c r="S20" s="12"/>
      <c r="T20" s="12"/>
      <c r="U20" s="12"/>
      <c r="V20" s="12"/>
      <c r="W20" s="12"/>
      <c r="X20" s="12"/>
      <c r="Y20" s="12"/>
      <c r="Z20" s="12"/>
      <c r="AA20" s="12"/>
      <c r="AB20" s="12"/>
      <c r="AC20" s="12"/>
      <c r="AD20" s="12"/>
      <c r="AE20" s="12"/>
    </row>
    <row r="21" spans="1:31" ht="16" customHeight="1" x14ac:dyDescent="0.35">
      <c r="A21" s="5" t="s">
        <v>65</v>
      </c>
      <c r="B21" s="7">
        <v>5894</v>
      </c>
      <c r="C21" s="7">
        <v>4329</v>
      </c>
      <c r="D21" s="7">
        <v>-2152</v>
      </c>
      <c r="F21" s="10">
        <f t="shared" si="1"/>
        <v>1565</v>
      </c>
      <c r="G21" s="10">
        <f t="shared" si="2"/>
        <v>6481</v>
      </c>
      <c r="I21" s="11">
        <f t="shared" si="3"/>
        <v>0.36151536151536151</v>
      </c>
      <c r="J21" s="11">
        <f t="shared" si="4"/>
        <v>-3.0116171003717471</v>
      </c>
      <c r="L21" s="11">
        <f t="shared" si="5"/>
        <v>3.1860837225393533E-2</v>
      </c>
      <c r="M21" s="11">
        <f t="shared" si="6"/>
        <v>2.4569926954271216E-2</v>
      </c>
      <c r="N21" s="11">
        <f t="shared" si="7"/>
        <v>-1.3615341300923085E-2</v>
      </c>
      <c r="P21" s="12"/>
      <c r="Q21" s="54"/>
      <c r="R21" s="12"/>
      <c r="S21" s="12"/>
      <c r="T21" s="12"/>
      <c r="U21" s="12"/>
      <c r="V21" s="12"/>
      <c r="W21" s="12"/>
      <c r="X21" s="12"/>
      <c r="Y21" s="12"/>
      <c r="Z21" s="12"/>
      <c r="AA21" s="12"/>
      <c r="AB21" s="12"/>
      <c r="AC21" s="12"/>
      <c r="AD21" s="12"/>
      <c r="AE21" s="12"/>
    </row>
    <row r="22" spans="1:31" ht="16" customHeight="1" x14ac:dyDescent="0.35">
      <c r="A22" s="5" t="s">
        <v>66</v>
      </c>
      <c r="B22" s="7">
        <v>15</v>
      </c>
      <c r="C22" s="7">
        <v>-18</v>
      </c>
      <c r="D22" s="7">
        <v>-171</v>
      </c>
      <c r="F22" s="10">
        <f t="shared" si="1"/>
        <v>33</v>
      </c>
      <c r="G22" s="10">
        <f t="shared" si="2"/>
        <v>153</v>
      </c>
      <c r="I22" s="11">
        <f t="shared" si="3"/>
        <v>-1.8333333333333333</v>
      </c>
      <c r="J22" s="11">
        <f t="shared" si="4"/>
        <v>-0.89473684210526316</v>
      </c>
      <c r="L22" s="11">
        <f t="shared" si="5"/>
        <v>8.1084587441619096E-5</v>
      </c>
      <c r="M22" s="11">
        <f t="shared" si="6"/>
        <v>-1.0216185843771815E-4</v>
      </c>
      <c r="N22" s="11">
        <f t="shared" si="7"/>
        <v>-1.0818881795807841E-3</v>
      </c>
      <c r="P22" s="12"/>
      <c r="Q22" s="54"/>
      <c r="R22" s="12"/>
      <c r="S22" s="12"/>
      <c r="T22" s="12"/>
      <c r="U22" s="12"/>
      <c r="V22" s="12"/>
      <c r="W22" s="12"/>
      <c r="X22" s="12"/>
      <c r="Y22" s="12"/>
      <c r="Z22" s="12"/>
      <c r="AA22" s="12"/>
      <c r="AB22" s="12"/>
      <c r="AC22" s="12"/>
      <c r="AD22" s="12"/>
      <c r="AE22" s="12"/>
    </row>
    <row r="23" spans="1:31" ht="16" customHeight="1" x14ac:dyDescent="0.35">
      <c r="A23" s="5" t="s">
        <v>67</v>
      </c>
      <c r="B23" s="6">
        <v>5879</v>
      </c>
      <c r="C23" s="6">
        <v>4347</v>
      </c>
      <c r="D23" s="6">
        <v>-1981</v>
      </c>
      <c r="F23" s="10">
        <f t="shared" si="1"/>
        <v>1532</v>
      </c>
      <c r="G23" s="10">
        <f t="shared" si="2"/>
        <v>6328</v>
      </c>
      <c r="I23" s="11">
        <f t="shared" si="3"/>
        <v>0.35242696112261329</v>
      </c>
      <c r="J23" s="11">
        <f t="shared" si="4"/>
        <v>-3.1943462897526502</v>
      </c>
      <c r="L23" s="11">
        <f t="shared" si="5"/>
        <v>3.1779752637951908E-2</v>
      </c>
      <c r="M23" s="11">
        <f t="shared" si="6"/>
        <v>2.4672088812708937E-2</v>
      </c>
      <c r="N23" s="11">
        <f t="shared" si="7"/>
        <v>-1.2533453121342301E-2</v>
      </c>
      <c r="P23" s="12"/>
      <c r="Q23" s="54"/>
      <c r="R23" s="12"/>
      <c r="S23" s="12"/>
      <c r="T23" s="12"/>
      <c r="U23" s="12"/>
      <c r="V23" s="12"/>
      <c r="W23" s="12"/>
      <c r="X23" s="12"/>
      <c r="Y23" s="12"/>
      <c r="Z23" s="12"/>
      <c r="AA23" s="12"/>
      <c r="AB23" s="12"/>
      <c r="AC23" s="12"/>
      <c r="AD23" s="12"/>
      <c r="AE23" s="12"/>
    </row>
    <row r="24" spans="1:31" ht="16" customHeight="1" x14ac:dyDescent="0.35">
      <c r="A24" s="4" t="s">
        <v>68</v>
      </c>
      <c r="B24" s="5" t="s">
        <v>9</v>
      </c>
      <c r="C24" s="5" t="s">
        <v>9</v>
      </c>
      <c r="D24" s="5" t="s">
        <v>9</v>
      </c>
      <c r="F24" s="10"/>
      <c r="G24" s="10"/>
      <c r="I24" s="11"/>
      <c r="J24" s="11"/>
      <c r="L24" s="11"/>
      <c r="M24" s="11"/>
      <c r="N24" s="11"/>
      <c r="P24" s="12"/>
      <c r="Q24" s="54"/>
      <c r="R24" s="12"/>
      <c r="S24" s="12"/>
      <c r="T24" s="12"/>
      <c r="U24" s="12"/>
      <c r="V24" s="12"/>
      <c r="W24" s="12"/>
      <c r="X24" s="12"/>
      <c r="Y24" s="12"/>
      <c r="Z24" s="12"/>
      <c r="AA24" s="12"/>
      <c r="AB24" s="12"/>
      <c r="AC24" s="12"/>
      <c r="AD24" s="12"/>
      <c r="AE24" s="12"/>
    </row>
    <row r="25" spans="1:31" ht="16" customHeight="1" x14ac:dyDescent="0.35">
      <c r="A25" s="5" t="s">
        <v>69</v>
      </c>
      <c r="B25" s="9">
        <v>1.48</v>
      </c>
      <c r="C25" s="9">
        <v>1.0900000000000001</v>
      </c>
      <c r="D25" s="9">
        <v>-0.49</v>
      </c>
      <c r="F25" s="17">
        <f t="shared" si="1"/>
        <v>0.3899999999999999</v>
      </c>
      <c r="G25" s="17">
        <f t="shared" si="2"/>
        <v>1.58</v>
      </c>
      <c r="I25" s="11">
        <f t="shared" si="3"/>
        <v>0.35779816513761459</v>
      </c>
      <c r="J25" s="11">
        <f t="shared" si="4"/>
        <v>-3.2244897959183674</v>
      </c>
      <c r="L25" s="11">
        <f t="shared" si="5"/>
        <v>8.0003459609064169E-6</v>
      </c>
      <c r="M25" s="11">
        <f t="shared" si="6"/>
        <v>6.1864680942840445E-6</v>
      </c>
      <c r="N25" s="11">
        <f t="shared" si="7"/>
        <v>-3.1001474151730072E-6</v>
      </c>
      <c r="P25" s="12"/>
      <c r="Q25" s="54"/>
      <c r="R25" s="12"/>
      <c r="S25" s="12"/>
      <c r="T25" s="12"/>
      <c r="U25" s="12"/>
      <c r="V25" s="12"/>
      <c r="W25" s="12"/>
      <c r="X25" s="12"/>
      <c r="Y25" s="12"/>
      <c r="Z25" s="12"/>
      <c r="AA25" s="12"/>
      <c r="AB25" s="12"/>
      <c r="AC25" s="12"/>
      <c r="AD25" s="12"/>
      <c r="AE25" s="12"/>
    </row>
    <row r="26" spans="1:31" ht="16" customHeight="1" x14ac:dyDescent="0.35">
      <c r="A26" s="4" t="s">
        <v>70</v>
      </c>
      <c r="B26" s="5" t="s">
        <v>9</v>
      </c>
      <c r="C26" s="5" t="s">
        <v>9</v>
      </c>
      <c r="D26" s="5" t="s">
        <v>9</v>
      </c>
      <c r="F26" s="17"/>
      <c r="G26" s="17"/>
      <c r="I26" s="11"/>
      <c r="J26" s="11"/>
      <c r="L26" s="11"/>
      <c r="M26" s="11"/>
      <c r="N26" s="11"/>
      <c r="P26" s="12"/>
      <c r="Q26" s="54"/>
      <c r="R26" s="12"/>
      <c r="S26" s="12"/>
      <c r="T26" s="12"/>
      <c r="U26" s="12"/>
      <c r="V26" s="12"/>
      <c r="W26" s="12"/>
      <c r="X26" s="12"/>
      <c r="Y26" s="12"/>
      <c r="Z26" s="12"/>
      <c r="AA26" s="12"/>
      <c r="AB26" s="12"/>
      <c r="AC26" s="12"/>
      <c r="AD26" s="12"/>
      <c r="AE26" s="12"/>
    </row>
    <row r="27" spans="1:31" ht="16" customHeight="1" x14ac:dyDescent="0.35">
      <c r="A27" s="5" t="s">
        <v>71</v>
      </c>
      <c r="B27" s="9">
        <v>1.46</v>
      </c>
      <c r="C27" s="9">
        <v>1.08</v>
      </c>
      <c r="D27" s="9">
        <v>-0.49</v>
      </c>
      <c r="F27" s="17">
        <f t="shared" si="1"/>
        <v>0.37999999999999989</v>
      </c>
      <c r="G27" s="17">
        <f t="shared" si="2"/>
        <v>1.57</v>
      </c>
      <c r="I27" s="11">
        <f t="shared" si="3"/>
        <v>0.35185185185185175</v>
      </c>
      <c r="J27" s="11">
        <f t="shared" si="4"/>
        <v>-3.2040816326530615</v>
      </c>
      <c r="L27" s="11">
        <f t="shared" si="5"/>
        <v>7.8922331776509245E-6</v>
      </c>
      <c r="M27" s="11">
        <f t="shared" si="6"/>
        <v>6.1297115062630901E-6</v>
      </c>
      <c r="N27" s="11">
        <f t="shared" si="7"/>
        <v>-3.1001474151730072E-6</v>
      </c>
      <c r="P27" s="12"/>
      <c r="Q27" s="54"/>
      <c r="R27" s="12"/>
      <c r="S27" s="12"/>
      <c r="T27" s="12"/>
      <c r="U27" s="12"/>
      <c r="V27" s="12"/>
      <c r="W27" s="12"/>
      <c r="X27" s="12"/>
      <c r="Y27" s="12"/>
      <c r="Z27" s="12"/>
      <c r="AA27" s="12"/>
      <c r="AB27" s="12"/>
      <c r="AC27" s="12"/>
      <c r="AD27" s="12"/>
      <c r="AE27" s="12"/>
    </row>
    <row r="28" spans="1:31" ht="16" customHeight="1" x14ac:dyDescent="0.35">
      <c r="A28" s="5" t="s">
        <v>72</v>
      </c>
      <c r="B28" s="7">
        <v>3978</v>
      </c>
      <c r="C28" s="7">
        <v>3998</v>
      </c>
      <c r="D28" s="7">
        <v>4014</v>
      </c>
      <c r="F28" s="10">
        <f t="shared" si="1"/>
        <v>-20</v>
      </c>
      <c r="G28" s="10">
        <f t="shared" si="2"/>
        <v>-16</v>
      </c>
      <c r="I28" s="11">
        <f t="shared" si="3"/>
        <v>-5.0025012506253125E-3</v>
      </c>
      <c r="J28" s="11">
        <f t="shared" si="4"/>
        <v>-3.9860488290981563E-3</v>
      </c>
      <c r="L28" s="11">
        <f t="shared" si="5"/>
        <v>2.1503632589517385E-2</v>
      </c>
      <c r="M28" s="11">
        <f t="shared" si="6"/>
        <v>2.2691283890777621E-2</v>
      </c>
      <c r="N28" s="11">
        <f t="shared" si="7"/>
        <v>2.5395901478580511E-2</v>
      </c>
      <c r="P28" s="12"/>
      <c r="Q28" s="54"/>
      <c r="R28" s="12"/>
      <c r="S28" s="12"/>
      <c r="T28" s="12"/>
      <c r="U28" s="12"/>
      <c r="V28" s="12"/>
      <c r="W28" s="12"/>
      <c r="X28" s="12"/>
      <c r="Y28" s="12"/>
      <c r="Z28" s="12"/>
      <c r="AA28" s="12"/>
      <c r="AB28" s="12"/>
      <c r="AC28" s="12"/>
      <c r="AD28" s="12"/>
      <c r="AE28" s="12"/>
    </row>
    <row r="29" spans="1:31" ht="16" customHeight="1" x14ac:dyDescent="0.35">
      <c r="A29" s="5" t="s">
        <v>73</v>
      </c>
      <c r="B29" s="7">
        <v>4021</v>
      </c>
      <c r="C29" s="7">
        <v>4041</v>
      </c>
      <c r="D29" s="7">
        <v>4014</v>
      </c>
      <c r="F29" s="10">
        <f t="shared" si="1"/>
        <v>-20</v>
      </c>
      <c r="G29" s="10">
        <f t="shared" si="2"/>
        <v>27</v>
      </c>
      <c r="I29" s="11">
        <f t="shared" si="3"/>
        <v>-4.9492699826775548E-3</v>
      </c>
      <c r="J29" s="11">
        <f t="shared" si="4"/>
        <v>6.7264573991031393E-3</v>
      </c>
      <c r="L29" s="11">
        <f t="shared" si="5"/>
        <v>2.1736075073516693E-2</v>
      </c>
      <c r="M29" s="11">
        <f t="shared" si="6"/>
        <v>2.2935337219267726E-2</v>
      </c>
      <c r="N29" s="11">
        <f t="shared" si="7"/>
        <v>2.5395901478580511E-2</v>
      </c>
      <c r="P29" s="12"/>
      <c r="Q29" s="54"/>
      <c r="R29" s="12"/>
      <c r="S29" s="12"/>
      <c r="T29" s="12"/>
      <c r="U29" s="12"/>
      <c r="V29" s="12"/>
      <c r="W29" s="12"/>
      <c r="X29" s="12"/>
      <c r="Y29" s="12"/>
      <c r="Z29" s="12"/>
      <c r="AA29" s="12"/>
      <c r="AB29" s="12"/>
      <c r="AC29" s="12"/>
      <c r="AD29" s="12"/>
      <c r="AE29" s="12"/>
    </row>
    <row r="30" spans="1:31" ht="16" customHeight="1" x14ac:dyDescent="0.35">
      <c r="A30" s="5" t="s">
        <v>74</v>
      </c>
      <c r="B30" s="5" t="s">
        <v>9</v>
      </c>
      <c r="C30" s="5" t="s">
        <v>9</v>
      </c>
      <c r="D30" s="5" t="s">
        <v>9</v>
      </c>
      <c r="F30" s="10"/>
      <c r="G30" s="10"/>
      <c r="I30" s="11"/>
      <c r="J30" s="11"/>
      <c r="L30" s="11"/>
      <c r="M30" s="11"/>
      <c r="N30" s="11"/>
      <c r="P30" s="12"/>
      <c r="Q30" s="54"/>
      <c r="R30" s="12"/>
      <c r="S30" s="12"/>
      <c r="T30" s="12"/>
      <c r="U30" s="12"/>
      <c r="V30" s="12"/>
      <c r="W30" s="12"/>
      <c r="X30" s="12"/>
      <c r="Y30" s="12"/>
      <c r="Z30" s="12"/>
      <c r="AA30" s="12"/>
      <c r="AB30" s="12"/>
      <c r="AC30" s="12"/>
      <c r="AD30" s="12"/>
      <c r="AE30" s="12"/>
    </row>
    <row r="31" spans="1:31" ht="16" customHeight="1" x14ac:dyDescent="0.35">
      <c r="A31" s="4" t="s">
        <v>53</v>
      </c>
      <c r="B31" s="5" t="s">
        <v>9</v>
      </c>
      <c r="C31" s="5" t="s">
        <v>9</v>
      </c>
      <c r="D31" s="5" t="s">
        <v>9</v>
      </c>
      <c r="F31" s="10"/>
      <c r="G31" s="10"/>
      <c r="I31" s="11"/>
      <c r="J31" s="11"/>
      <c r="L31" s="11"/>
      <c r="M31" s="11"/>
      <c r="N31" s="11"/>
      <c r="P31" s="12"/>
      <c r="Q31" s="54"/>
      <c r="R31" s="12"/>
      <c r="S31" s="12"/>
      <c r="T31" s="12"/>
      <c r="U31" s="12"/>
      <c r="V31" s="12"/>
      <c r="W31" s="12"/>
      <c r="X31" s="12"/>
      <c r="Y31" s="12"/>
      <c r="Z31" s="12"/>
      <c r="AA31" s="12"/>
      <c r="AB31" s="12"/>
      <c r="AC31" s="12"/>
      <c r="AD31" s="12"/>
      <c r="AE31" s="12"/>
    </row>
    <row r="32" spans="1:31" ht="16" customHeight="1" x14ac:dyDescent="0.35">
      <c r="A32" s="5" t="s">
        <v>54</v>
      </c>
      <c r="B32" s="6">
        <v>172706</v>
      </c>
      <c r="C32" s="6">
        <v>165901</v>
      </c>
      <c r="D32" s="6">
        <v>149079</v>
      </c>
      <c r="F32" s="10">
        <f t="shared" si="1"/>
        <v>6805</v>
      </c>
      <c r="G32" s="10">
        <f t="shared" si="2"/>
        <v>16822</v>
      </c>
      <c r="I32" s="11">
        <f t="shared" si="3"/>
        <v>4.1018438707421896E-2</v>
      </c>
      <c r="J32" s="11">
        <f t="shared" si="4"/>
        <v>0.1128395012040596</v>
      </c>
      <c r="L32" s="11">
        <f t="shared" si="5"/>
        <v>0.93358631724615115</v>
      </c>
      <c r="M32" s="11">
        <f t="shared" si="6"/>
        <v>0.94159747092643775</v>
      </c>
      <c r="N32" s="11">
        <f t="shared" si="7"/>
        <v>0.94319770715627904</v>
      </c>
      <c r="P32" s="12"/>
      <c r="Q32" s="54"/>
      <c r="R32" s="12"/>
      <c r="S32" s="12"/>
      <c r="T32" s="12"/>
      <c r="U32" s="12"/>
      <c r="V32" s="12"/>
      <c r="W32" s="12"/>
      <c r="X32" s="12"/>
      <c r="Y32" s="12"/>
      <c r="Z32" s="12"/>
      <c r="AA32" s="12"/>
      <c r="AB32" s="12"/>
      <c r="AC32" s="12"/>
      <c r="AD32" s="12"/>
      <c r="AE32" s="12"/>
    </row>
    <row r="33" spans="1:31" ht="16" customHeight="1" x14ac:dyDescent="0.35">
      <c r="A33" s="5" t="s">
        <v>75</v>
      </c>
      <c r="B33" s="5" t="s">
        <v>9</v>
      </c>
      <c r="C33" s="5" t="s">
        <v>9</v>
      </c>
      <c r="D33" s="5" t="s">
        <v>9</v>
      </c>
      <c r="F33" s="10"/>
      <c r="G33" s="10"/>
      <c r="I33" s="11"/>
      <c r="J33" s="11"/>
      <c r="L33" s="11"/>
      <c r="M33" s="11"/>
      <c r="N33" s="11"/>
      <c r="P33" s="12"/>
      <c r="Q33" s="54"/>
      <c r="R33" s="12"/>
      <c r="S33" s="12"/>
      <c r="T33" s="12"/>
      <c r="U33" s="12"/>
      <c r="V33" s="12"/>
      <c r="W33" s="12"/>
      <c r="X33" s="12"/>
      <c r="Y33" s="12"/>
      <c r="Z33" s="12"/>
      <c r="AA33" s="12"/>
      <c r="AB33" s="12"/>
      <c r="AC33" s="12"/>
      <c r="AD33" s="12"/>
      <c r="AE33" s="12"/>
    </row>
    <row r="34" spans="1:31" ht="16" customHeight="1" x14ac:dyDescent="0.35">
      <c r="A34" s="4" t="s">
        <v>53</v>
      </c>
      <c r="B34" s="5" t="s">
        <v>9</v>
      </c>
      <c r="C34" s="5" t="s">
        <v>9</v>
      </c>
      <c r="D34" s="5" t="s">
        <v>9</v>
      </c>
      <c r="F34" s="10"/>
      <c r="G34" s="10"/>
      <c r="I34" s="11"/>
      <c r="J34" s="11"/>
      <c r="L34" s="11"/>
      <c r="M34" s="11"/>
      <c r="N34" s="11"/>
      <c r="P34" s="12"/>
      <c r="Q34" s="54"/>
      <c r="R34" s="12"/>
      <c r="S34" s="12"/>
      <c r="T34" s="12"/>
      <c r="U34" s="12"/>
      <c r="V34" s="12"/>
      <c r="W34" s="12"/>
      <c r="X34" s="12"/>
      <c r="Y34" s="12"/>
      <c r="Z34" s="12"/>
      <c r="AA34" s="12"/>
      <c r="AB34" s="12"/>
      <c r="AC34" s="12"/>
      <c r="AD34" s="12"/>
      <c r="AE34" s="12"/>
    </row>
    <row r="35" spans="1:31" ht="16" customHeight="1" x14ac:dyDescent="0.35">
      <c r="A35" s="5" t="s">
        <v>54</v>
      </c>
      <c r="B35" s="7">
        <v>12286</v>
      </c>
      <c r="C35" s="7">
        <v>10290</v>
      </c>
      <c r="D35" s="7">
        <v>8978</v>
      </c>
      <c r="F35" s="10">
        <f t="shared" si="1"/>
        <v>1996</v>
      </c>
      <c r="G35" s="10">
        <f t="shared" si="2"/>
        <v>1312</v>
      </c>
      <c r="I35" s="11">
        <f t="shared" si="3"/>
        <v>0.19397473275024296</v>
      </c>
      <c r="J35" s="11">
        <f t="shared" si="4"/>
        <v>0.14613499665849855</v>
      </c>
      <c r="L35" s="11">
        <f t="shared" si="5"/>
        <v>6.6413682753848818E-2</v>
      </c>
      <c r="M35" s="11">
        <f t="shared" si="6"/>
        <v>5.8402529073562214E-2</v>
      </c>
      <c r="N35" s="11">
        <f t="shared" si="7"/>
        <v>5.6802292843720938E-2</v>
      </c>
      <c r="P35" s="12"/>
      <c r="Q35" s="54"/>
      <c r="R35" s="12"/>
      <c r="S35" s="12"/>
      <c r="T35" s="12"/>
      <c r="U35" s="12"/>
      <c r="V35" s="12"/>
      <c r="W35" s="12"/>
      <c r="X35" s="12"/>
      <c r="Y35" s="12"/>
      <c r="Z35" s="12"/>
      <c r="AA35" s="12"/>
      <c r="AB35" s="12"/>
      <c r="AC35" s="12"/>
      <c r="AD35" s="12"/>
      <c r="AE35" s="12"/>
    </row>
    <row r="36" spans="1:31" ht="16" customHeight="1" x14ac:dyDescent="0.35">
      <c r="A36" s="4" t="s">
        <v>55</v>
      </c>
      <c r="B36" s="5" t="s">
        <v>9</v>
      </c>
      <c r="C36" s="5" t="s">
        <v>9</v>
      </c>
      <c r="D36" s="5" t="s">
        <v>9</v>
      </c>
      <c r="F36" s="10"/>
      <c r="G36" s="10"/>
      <c r="I36" s="11"/>
      <c r="J36" s="11"/>
      <c r="L36" s="11"/>
      <c r="M36" s="11"/>
      <c r="N36" s="11"/>
      <c r="P36" s="12"/>
      <c r="Q36" s="54"/>
      <c r="R36" s="12"/>
      <c r="S36" s="12"/>
      <c r="T36" s="12"/>
      <c r="U36" s="12"/>
      <c r="V36" s="12"/>
      <c r="W36" s="12"/>
      <c r="X36" s="12"/>
      <c r="Y36" s="12"/>
      <c r="Z36" s="12"/>
      <c r="AA36" s="12"/>
      <c r="AB36" s="12"/>
      <c r="AC36" s="12"/>
      <c r="AD36" s="12"/>
      <c r="AE36" s="12"/>
    </row>
    <row r="37" spans="1:31" ht="16" customHeight="1" x14ac:dyDescent="0.35">
      <c r="A37" s="5" t="s">
        <v>76</v>
      </c>
      <c r="B37" s="6">
        <v>11052</v>
      </c>
      <c r="C37" s="6">
        <v>9481</v>
      </c>
      <c r="D37" s="6">
        <v>6496</v>
      </c>
      <c r="F37" s="10">
        <f t="shared" si="1"/>
        <v>1571</v>
      </c>
      <c r="G37" s="10">
        <f t="shared" si="2"/>
        <v>2985</v>
      </c>
      <c r="I37" s="11">
        <f t="shared" si="3"/>
        <v>0.16569982069401962</v>
      </c>
      <c r="J37" s="11">
        <f t="shared" si="4"/>
        <v>0.45951354679802958</v>
      </c>
      <c r="L37" s="11">
        <f t="shared" si="5"/>
        <v>5.9743124026984951E-2</v>
      </c>
      <c r="M37" s="11">
        <f t="shared" si="6"/>
        <v>5.3810921102666991E-2</v>
      </c>
      <c r="N37" s="11">
        <f t="shared" si="7"/>
        <v>4.1099097161150726E-2</v>
      </c>
      <c r="P37" s="12"/>
      <c r="Q37" s="54"/>
      <c r="R37" s="12"/>
      <c r="S37" s="12"/>
      <c r="T37" s="12"/>
      <c r="U37" s="12"/>
      <c r="V37" s="12"/>
      <c r="W37" s="12"/>
      <c r="X37" s="12"/>
      <c r="Y37" s="12"/>
      <c r="Z37" s="12"/>
      <c r="AA37" s="12"/>
      <c r="AB37" s="12"/>
      <c r="AC37" s="12"/>
      <c r="AD37" s="12"/>
      <c r="AE37" s="12"/>
    </row>
    <row r="38" spans="1:31" ht="15" customHeight="1" x14ac:dyDescent="0.35">
      <c r="P38" s="12"/>
      <c r="Q38" s="54"/>
      <c r="R38" s="12"/>
      <c r="S38" s="12"/>
      <c r="T38" s="12"/>
      <c r="U38" s="12"/>
      <c r="V38" s="12"/>
      <c r="W38" s="12"/>
      <c r="X38" s="12"/>
      <c r="Y38" s="12"/>
      <c r="Z38" s="12"/>
      <c r="AA38" s="12"/>
      <c r="AB38" s="12"/>
      <c r="AC38" s="12"/>
      <c r="AD38" s="12"/>
      <c r="AE38" s="12"/>
    </row>
    <row r="39" spans="1:31" ht="15" customHeight="1" x14ac:dyDescent="0.35">
      <c r="P39" s="12"/>
      <c r="Q39" s="54"/>
      <c r="R39" s="12"/>
      <c r="S39" s="12"/>
      <c r="T39" s="12"/>
      <c r="U39" s="12"/>
      <c r="V39" s="12"/>
      <c r="W39" s="12"/>
      <c r="X39" s="12"/>
      <c r="Y39" s="12"/>
      <c r="Z39" s="12"/>
      <c r="AA39" s="12"/>
      <c r="AB39" s="12"/>
      <c r="AC39" s="12"/>
      <c r="AD39" s="12"/>
      <c r="AE39" s="12"/>
    </row>
    <row r="40" spans="1:31" ht="15" customHeight="1" x14ac:dyDescent="0.35">
      <c r="P40" s="12"/>
      <c r="Q40" s="54"/>
      <c r="R40" s="12"/>
      <c r="S40" s="12"/>
      <c r="T40" s="12"/>
      <c r="U40" s="12"/>
      <c r="V40" s="12"/>
      <c r="W40" s="12"/>
      <c r="X40" s="12"/>
      <c r="Y40" s="12"/>
      <c r="Z40" s="12"/>
      <c r="AA40" s="12"/>
      <c r="AB40" s="12"/>
      <c r="AC40" s="12"/>
      <c r="AD40" s="12"/>
      <c r="AE40" s="12"/>
    </row>
    <row r="41" spans="1:31" ht="15" customHeight="1" x14ac:dyDescent="0.35">
      <c r="F41" s="59" t="s">
        <v>109</v>
      </c>
      <c r="G41" s="59"/>
      <c r="I41" s="59" t="s">
        <v>113</v>
      </c>
      <c r="J41" s="59"/>
      <c r="P41" s="12"/>
      <c r="Q41" s="54"/>
      <c r="R41" s="12"/>
      <c r="S41" s="12"/>
      <c r="T41" s="12"/>
      <c r="U41" s="12"/>
      <c r="V41" s="12"/>
      <c r="W41" s="12"/>
      <c r="X41" s="12"/>
      <c r="Y41" s="12"/>
      <c r="Z41" s="12"/>
      <c r="AA41" s="12"/>
      <c r="AB41" s="12"/>
      <c r="AC41" s="12"/>
      <c r="AD41" s="12"/>
      <c r="AE41" s="12"/>
    </row>
    <row r="42" spans="1:31" ht="16" customHeight="1" thickBot="1" x14ac:dyDescent="0.4">
      <c r="A42" s="8" t="s">
        <v>77</v>
      </c>
      <c r="B42" s="3" t="s">
        <v>50</v>
      </c>
      <c r="C42" s="3" t="s">
        <v>51</v>
      </c>
      <c r="F42" s="15" t="s">
        <v>115</v>
      </c>
      <c r="G42" s="15" t="s">
        <v>114</v>
      </c>
      <c r="H42" s="3"/>
      <c r="I42" s="16">
        <v>20.239999999999998</v>
      </c>
      <c r="J42" s="16">
        <v>20.23</v>
      </c>
      <c r="P42" s="12"/>
      <c r="Q42" s="55"/>
      <c r="R42" s="12"/>
      <c r="S42" s="12"/>
      <c r="T42" s="12"/>
      <c r="U42" s="12"/>
      <c r="V42" s="12"/>
      <c r="W42" s="12"/>
      <c r="X42" s="12"/>
      <c r="Y42" s="12"/>
      <c r="Z42" s="12"/>
      <c r="AA42" s="12"/>
      <c r="AB42" s="12"/>
      <c r="AC42" s="12"/>
      <c r="AD42" s="12"/>
      <c r="AE42" s="12"/>
    </row>
    <row r="43" spans="1:31" ht="16" customHeight="1" thickBot="1" x14ac:dyDescent="0.4">
      <c r="A43" s="4" t="s">
        <v>78</v>
      </c>
      <c r="B43" s="5" t="s">
        <v>9</v>
      </c>
      <c r="C43" s="5" t="s">
        <v>9</v>
      </c>
      <c r="P43" s="12"/>
      <c r="Q43" s="14"/>
      <c r="R43" s="12"/>
      <c r="S43" s="12"/>
      <c r="T43" s="12"/>
      <c r="U43" s="12"/>
      <c r="V43" s="12"/>
      <c r="W43" s="12"/>
      <c r="X43" s="12"/>
      <c r="Y43" s="12"/>
      <c r="Z43" s="12"/>
      <c r="AA43" s="12"/>
      <c r="AB43" s="12"/>
      <c r="AC43" s="12"/>
      <c r="AD43" s="12"/>
      <c r="AE43" s="12"/>
    </row>
    <row r="44" spans="1:31" ht="16" customHeight="1" x14ac:dyDescent="0.35">
      <c r="A44" s="5" t="s">
        <v>79</v>
      </c>
      <c r="B44" s="6">
        <v>22935</v>
      </c>
      <c r="C44" s="6">
        <v>24862</v>
      </c>
      <c r="F44" s="10">
        <f>B44-C44</f>
        <v>-1927</v>
      </c>
      <c r="G44" s="11">
        <f>F44/C44</f>
        <v>-7.7507843294988332E-2</v>
      </c>
      <c r="I44" s="11">
        <f t="shared" ref="I44:I57" si="8">B44/B$58</f>
        <v>8.041837893939606E-2</v>
      </c>
      <c r="J44" s="11">
        <f t="shared" ref="J44:J57" si="9">C44/C$58</f>
        <v>9.0966302001390359E-2</v>
      </c>
      <c r="P44" s="12"/>
      <c r="Q44" s="53" t="s">
        <v>116</v>
      </c>
      <c r="R44" s="12"/>
      <c r="S44" s="12"/>
      <c r="T44" s="12"/>
      <c r="U44" s="12"/>
      <c r="V44" s="12"/>
      <c r="W44" s="12"/>
      <c r="X44" s="12"/>
      <c r="Y44" s="12"/>
      <c r="Z44" s="12"/>
      <c r="AA44" s="12"/>
      <c r="AB44" s="12"/>
      <c r="AC44" s="12"/>
      <c r="AD44" s="12"/>
      <c r="AE44" s="12"/>
    </row>
    <row r="45" spans="1:31" ht="16" customHeight="1" x14ac:dyDescent="0.35">
      <c r="A45" s="5" t="s">
        <v>80</v>
      </c>
      <c r="B45" s="7">
        <v>15413</v>
      </c>
      <c r="C45" s="7">
        <v>15309</v>
      </c>
      <c r="F45" s="10">
        <f t="shared" ref="F45:F75" si="10">B45-C45</f>
        <v>104</v>
      </c>
      <c r="G45" s="11">
        <f t="shared" ref="G45:G75" si="11">F45/C45</f>
        <v>6.7933895094388925E-3</v>
      </c>
      <c r="I45" s="11">
        <f t="shared" si="8"/>
        <v>5.4043534972440008E-2</v>
      </c>
      <c r="J45" s="11">
        <f t="shared" si="9"/>
        <v>5.6013318210091104E-2</v>
      </c>
      <c r="P45" s="12"/>
      <c r="Q45" s="54"/>
      <c r="R45" s="12"/>
      <c r="S45" s="12"/>
      <c r="T45" s="12"/>
      <c r="U45" s="12"/>
      <c r="V45" s="12"/>
      <c r="W45" s="12"/>
      <c r="X45" s="12"/>
      <c r="Y45" s="12"/>
      <c r="Z45" s="12"/>
      <c r="AA45" s="12"/>
      <c r="AB45" s="12"/>
      <c r="AC45" s="12"/>
      <c r="AD45" s="12"/>
      <c r="AE45" s="12"/>
    </row>
    <row r="46" spans="1:31" ht="16" customHeight="1" x14ac:dyDescent="0.35">
      <c r="A46" s="5" t="s">
        <v>81</v>
      </c>
      <c r="B46" s="7">
        <v>51850</v>
      </c>
      <c r="C46" s="7">
        <v>46425</v>
      </c>
      <c r="F46" s="10">
        <f t="shared" si="10"/>
        <v>5425</v>
      </c>
      <c r="G46" s="11">
        <f t="shared" si="11"/>
        <v>0.11685514270328487</v>
      </c>
      <c r="I46" s="11">
        <f t="shared" si="8"/>
        <v>0.18180479389612758</v>
      </c>
      <c r="J46" s="11">
        <f t="shared" si="9"/>
        <v>0.16986206139548499</v>
      </c>
      <c r="P46" s="12"/>
      <c r="Q46" s="54"/>
      <c r="R46" s="12"/>
      <c r="S46" s="12"/>
      <c r="T46" s="12"/>
      <c r="U46" s="12"/>
      <c r="V46" s="12"/>
      <c r="W46" s="12"/>
      <c r="X46" s="12"/>
      <c r="Y46" s="12"/>
      <c r="Z46" s="12"/>
      <c r="AA46" s="12"/>
      <c r="AB46" s="12"/>
      <c r="AC46" s="12"/>
      <c r="AD46" s="12"/>
      <c r="AE46" s="12"/>
    </row>
    <row r="47" spans="1:31" ht="16" customHeight="1" x14ac:dyDescent="0.35">
      <c r="A47" s="5" t="s">
        <v>82</v>
      </c>
      <c r="B47" s="7">
        <v>14723</v>
      </c>
      <c r="C47" s="7">
        <v>15601</v>
      </c>
      <c r="F47" s="10">
        <f t="shared" si="10"/>
        <v>-878</v>
      </c>
      <c r="G47" s="11">
        <f t="shared" si="11"/>
        <v>-5.6278443689507081E-2</v>
      </c>
      <c r="I47" s="11">
        <f t="shared" si="8"/>
        <v>5.162414620120899E-2</v>
      </c>
      <c r="J47" s="11">
        <f t="shared" si="9"/>
        <v>5.7081702096520436E-2</v>
      </c>
      <c r="P47" s="12"/>
      <c r="Q47" s="54"/>
      <c r="R47" s="12"/>
      <c r="S47" s="12"/>
      <c r="T47" s="12"/>
      <c r="U47" s="12"/>
      <c r="V47" s="12"/>
      <c r="W47" s="12"/>
      <c r="X47" s="12"/>
      <c r="Y47" s="12"/>
      <c r="Z47" s="12"/>
      <c r="AA47" s="12"/>
      <c r="AB47" s="12"/>
      <c r="AC47" s="12"/>
      <c r="AD47" s="12"/>
      <c r="AE47" s="12"/>
    </row>
    <row r="48" spans="1:31" ht="16" customHeight="1" x14ac:dyDescent="0.35">
      <c r="A48" s="5" t="s">
        <v>83</v>
      </c>
      <c r="B48" s="7">
        <v>14951</v>
      </c>
      <c r="C48" s="7">
        <v>15651</v>
      </c>
      <c r="F48" s="10">
        <f t="shared" si="10"/>
        <v>-700</v>
      </c>
      <c r="G48" s="11">
        <f t="shared" si="11"/>
        <v>-4.4725576640470256E-2</v>
      </c>
      <c r="I48" s="11">
        <f t="shared" si="8"/>
        <v>5.2423596403876629E-2</v>
      </c>
      <c r="J48" s="11">
        <f t="shared" si="9"/>
        <v>5.7264644542826829E-2</v>
      </c>
      <c r="P48" s="12"/>
      <c r="Q48" s="54"/>
      <c r="R48" s="12"/>
      <c r="S48" s="12"/>
      <c r="T48" s="12"/>
      <c r="U48" s="12"/>
      <c r="V48" s="12"/>
      <c r="W48" s="12"/>
      <c r="X48" s="12"/>
      <c r="Y48" s="12"/>
      <c r="Z48" s="12"/>
      <c r="AA48" s="12"/>
      <c r="AB48" s="12"/>
      <c r="AC48" s="12"/>
      <c r="AD48" s="12"/>
      <c r="AE48" s="12"/>
    </row>
    <row r="49" spans="1:31" ht="16" customHeight="1" x14ac:dyDescent="0.35">
      <c r="A49" s="5" t="s">
        <v>84</v>
      </c>
      <c r="B49" s="7">
        <v>4602</v>
      </c>
      <c r="C49" s="7">
        <v>3633</v>
      </c>
      <c r="F49" s="10">
        <f t="shared" si="10"/>
        <v>969</v>
      </c>
      <c r="G49" s="11">
        <f t="shared" si="11"/>
        <v>0.26672171758876961</v>
      </c>
      <c r="I49" s="11">
        <f t="shared" si="8"/>
        <v>1.6136271195949452E-2</v>
      </c>
      <c r="J49" s="11">
        <f t="shared" si="9"/>
        <v>1.3292598148622443E-2</v>
      </c>
      <c r="P49" s="12"/>
      <c r="Q49" s="54"/>
      <c r="R49" s="12"/>
      <c r="S49" s="12"/>
      <c r="T49" s="12"/>
      <c r="U49" s="12"/>
      <c r="V49" s="12"/>
      <c r="W49" s="12"/>
      <c r="X49" s="12"/>
      <c r="Y49" s="12"/>
      <c r="Z49" s="12"/>
      <c r="AA49" s="12"/>
      <c r="AB49" s="12"/>
      <c r="AC49" s="12"/>
      <c r="AD49" s="12"/>
      <c r="AE49" s="12"/>
    </row>
    <row r="50" spans="1:31" ht="16" customHeight="1" x14ac:dyDescent="0.35">
      <c r="A50" s="5" t="s">
        <v>85</v>
      </c>
      <c r="B50" s="7">
        <v>124474</v>
      </c>
      <c r="C50" s="7">
        <v>121481</v>
      </c>
      <c r="F50" s="10">
        <f t="shared" si="10"/>
        <v>2993</v>
      </c>
      <c r="G50" s="11">
        <f t="shared" si="11"/>
        <v>2.4637597649015072E-2</v>
      </c>
      <c r="I50" s="11">
        <f t="shared" si="8"/>
        <v>0.43645072160899873</v>
      </c>
      <c r="J50" s="11">
        <f t="shared" si="9"/>
        <v>0.44448062639493613</v>
      </c>
      <c r="P50" s="12"/>
      <c r="Q50" s="54"/>
      <c r="R50" s="12"/>
      <c r="S50" s="12"/>
      <c r="T50" s="12"/>
      <c r="U50" s="12"/>
      <c r="V50" s="12"/>
      <c r="W50" s="12"/>
      <c r="X50" s="12"/>
      <c r="Y50" s="12"/>
      <c r="Z50" s="12"/>
      <c r="AA50" s="12"/>
      <c r="AB50" s="12"/>
      <c r="AC50" s="12"/>
      <c r="AD50" s="12"/>
      <c r="AE50" s="12"/>
    </row>
    <row r="51" spans="1:31" ht="16" customHeight="1" x14ac:dyDescent="0.35">
      <c r="A51" s="4" t="s">
        <v>86</v>
      </c>
      <c r="B51" s="5" t="s">
        <v>9</v>
      </c>
      <c r="C51" s="5" t="s">
        <v>9</v>
      </c>
      <c r="F51" s="10"/>
      <c r="G51" s="11"/>
      <c r="I51" s="11"/>
      <c r="J51" s="11"/>
      <c r="P51" s="12"/>
      <c r="Q51" s="54"/>
      <c r="R51" s="12"/>
      <c r="S51" s="12"/>
      <c r="T51" s="12"/>
      <c r="U51" s="12"/>
      <c r="V51" s="12"/>
      <c r="W51" s="12"/>
      <c r="X51" s="12"/>
      <c r="Y51" s="12"/>
      <c r="Z51" s="12"/>
      <c r="AA51" s="12"/>
      <c r="AB51" s="12"/>
      <c r="AC51" s="12"/>
      <c r="AD51" s="12"/>
      <c r="AE51" s="12"/>
    </row>
    <row r="52" spans="1:31" ht="16" customHeight="1" x14ac:dyDescent="0.35">
      <c r="A52" s="5" t="s">
        <v>87</v>
      </c>
      <c r="B52" s="7">
        <v>59786</v>
      </c>
      <c r="C52" s="7">
        <v>55650</v>
      </c>
      <c r="F52" s="10">
        <f t="shared" si="10"/>
        <v>4136</v>
      </c>
      <c r="G52" s="11">
        <f t="shared" si="11"/>
        <v>7.4321653189577716E-2</v>
      </c>
      <c r="I52" s="11">
        <f t="shared" si="8"/>
        <v>0.20963127112582225</v>
      </c>
      <c r="J52" s="11">
        <f t="shared" si="9"/>
        <v>0.20361494273901432</v>
      </c>
      <c r="P52" s="12"/>
      <c r="Q52" s="54"/>
      <c r="R52" s="12"/>
      <c r="S52" s="12"/>
      <c r="T52" s="12"/>
      <c r="U52" s="12"/>
      <c r="V52" s="12"/>
      <c r="W52" s="12"/>
      <c r="X52" s="12"/>
      <c r="Y52" s="12"/>
      <c r="Z52" s="12"/>
      <c r="AA52" s="12"/>
      <c r="AB52" s="12"/>
      <c r="AC52" s="12"/>
      <c r="AD52" s="12"/>
      <c r="AE52" s="12"/>
    </row>
    <row r="53" spans="1:31" ht="16" customHeight="1" x14ac:dyDescent="0.35">
      <c r="A53" s="5" t="s">
        <v>88</v>
      </c>
      <c r="B53" s="7">
        <v>22947</v>
      </c>
      <c r="C53" s="7">
        <v>21384</v>
      </c>
      <c r="F53" s="10">
        <f t="shared" si="10"/>
        <v>1563</v>
      </c>
      <c r="G53" s="11">
        <f t="shared" si="11"/>
        <v>7.3092031425364759E-2</v>
      </c>
      <c r="I53" s="11">
        <f t="shared" si="8"/>
        <v>8.0460455265852257E-2</v>
      </c>
      <c r="J53" s="11">
        <f t="shared" si="9"/>
        <v>7.8240825436317732E-2</v>
      </c>
      <c r="P53" s="12"/>
      <c r="Q53" s="54"/>
      <c r="R53" s="12"/>
      <c r="S53" s="12"/>
      <c r="T53" s="12"/>
      <c r="U53" s="12"/>
      <c r="V53" s="12"/>
      <c r="W53" s="12"/>
      <c r="X53" s="12"/>
      <c r="Y53" s="12"/>
      <c r="Z53" s="12"/>
      <c r="AA53" s="12"/>
      <c r="AB53" s="12"/>
      <c r="AC53" s="12"/>
      <c r="AD53" s="12"/>
      <c r="AE53" s="12"/>
    </row>
    <row r="54" spans="1:31" ht="16" customHeight="1" x14ac:dyDescent="0.35">
      <c r="A54" s="5" t="s">
        <v>89</v>
      </c>
      <c r="B54" s="7">
        <v>41928</v>
      </c>
      <c r="C54" s="7">
        <v>40821</v>
      </c>
      <c r="F54" s="10">
        <f t="shared" si="10"/>
        <v>1107</v>
      </c>
      <c r="G54" s="11">
        <f t="shared" si="11"/>
        <v>2.7118394943778937E-2</v>
      </c>
      <c r="I54" s="11">
        <f t="shared" si="8"/>
        <v>0.14701468463793321</v>
      </c>
      <c r="J54" s="11">
        <f t="shared" si="9"/>
        <v>0.14935787201346457</v>
      </c>
      <c r="P54" s="12"/>
      <c r="Q54" s="54"/>
      <c r="R54" s="12"/>
      <c r="S54" s="12"/>
      <c r="T54" s="12"/>
      <c r="U54" s="12"/>
      <c r="V54" s="12"/>
      <c r="W54" s="12"/>
      <c r="X54" s="12"/>
      <c r="Y54" s="12"/>
      <c r="Z54" s="12"/>
      <c r="AA54" s="12"/>
      <c r="AB54" s="12"/>
      <c r="AC54" s="12"/>
      <c r="AD54" s="12"/>
      <c r="AE54" s="12"/>
    </row>
    <row r="55" spans="1:31" ht="16" customHeight="1" x14ac:dyDescent="0.35">
      <c r="A55" s="5" t="s">
        <v>90</v>
      </c>
      <c r="B55" s="7">
        <v>6821</v>
      </c>
      <c r="C55" s="7">
        <v>5548</v>
      </c>
      <c r="F55" s="10">
        <f t="shared" si="10"/>
        <v>1273</v>
      </c>
      <c r="G55" s="11">
        <f t="shared" si="11"/>
        <v>0.22945205479452055</v>
      </c>
      <c r="I55" s="11">
        <f t="shared" si="8"/>
        <v>2.391688522980687E-2</v>
      </c>
      <c r="J55" s="11">
        <f t="shared" si="9"/>
        <v>2.0299293842157257E-2</v>
      </c>
      <c r="P55" s="12"/>
      <c r="Q55" s="54"/>
      <c r="R55" s="12"/>
      <c r="S55" s="12"/>
      <c r="T55" s="12"/>
      <c r="U55" s="12"/>
      <c r="V55" s="12"/>
      <c r="W55" s="12"/>
      <c r="X55" s="12"/>
      <c r="Y55" s="12"/>
      <c r="Z55" s="12"/>
      <c r="AA55" s="12"/>
      <c r="AB55" s="12"/>
      <c r="AC55" s="12"/>
      <c r="AD55" s="12"/>
      <c r="AE55" s="12"/>
    </row>
    <row r="56" spans="1:31" ht="16" customHeight="1" x14ac:dyDescent="0.35">
      <c r="A56" s="5" t="s">
        <v>91</v>
      </c>
      <c r="B56" s="7">
        <v>16375</v>
      </c>
      <c r="C56" s="7">
        <v>16985</v>
      </c>
      <c r="F56" s="10">
        <f t="shared" si="10"/>
        <v>-610</v>
      </c>
      <c r="G56" s="11">
        <f t="shared" si="11"/>
        <v>-3.5914041801589636E-2</v>
      </c>
      <c r="I56" s="11">
        <f t="shared" si="8"/>
        <v>5.7416653810011362E-2</v>
      </c>
      <c r="J56" s="11">
        <f t="shared" si="9"/>
        <v>6.2145549010281367E-2</v>
      </c>
      <c r="P56" s="12"/>
      <c r="Q56" s="54"/>
      <c r="R56" s="12"/>
      <c r="S56" s="12"/>
      <c r="T56" s="12"/>
      <c r="U56" s="12"/>
      <c r="V56" s="12"/>
      <c r="W56" s="12"/>
      <c r="X56" s="12"/>
      <c r="Y56" s="12"/>
      <c r="Z56" s="12"/>
      <c r="AA56" s="12"/>
      <c r="AB56" s="12"/>
      <c r="AC56" s="12"/>
      <c r="AD56" s="12"/>
      <c r="AE56" s="12"/>
    </row>
    <row r="57" spans="1:31" ht="16" customHeight="1" x14ac:dyDescent="0.35">
      <c r="A57" s="5" t="s">
        <v>92</v>
      </c>
      <c r="B57" s="7">
        <v>12865</v>
      </c>
      <c r="C57" s="7">
        <v>11441</v>
      </c>
      <c r="F57" s="10">
        <f t="shared" si="10"/>
        <v>1424</v>
      </c>
      <c r="G57" s="11">
        <f t="shared" si="11"/>
        <v>0.12446464469888996</v>
      </c>
      <c r="I57" s="11">
        <f t="shared" si="8"/>
        <v>4.510932832157534E-2</v>
      </c>
      <c r="J57" s="11">
        <f t="shared" si="9"/>
        <v>4.1860890563828621E-2</v>
      </c>
      <c r="P57" s="12"/>
      <c r="Q57" s="54"/>
      <c r="R57" s="12"/>
      <c r="S57" s="12"/>
      <c r="T57" s="12"/>
      <c r="U57" s="12"/>
      <c r="V57" s="12"/>
      <c r="W57" s="12"/>
      <c r="X57" s="12"/>
      <c r="Y57" s="12"/>
      <c r="Z57" s="12"/>
      <c r="AA57" s="12"/>
      <c r="AB57" s="12"/>
      <c r="AC57" s="12"/>
      <c r="AD57" s="12"/>
      <c r="AE57" s="12"/>
    </row>
    <row r="58" spans="1:31" ht="16" customHeight="1" x14ac:dyDescent="0.35">
      <c r="A58" s="5" t="s">
        <v>93</v>
      </c>
      <c r="B58" s="7">
        <v>285196</v>
      </c>
      <c r="C58" s="7">
        <v>273310</v>
      </c>
      <c r="F58" s="10">
        <f t="shared" si="10"/>
        <v>11886</v>
      </c>
      <c r="G58" s="11">
        <f t="shared" si="11"/>
        <v>4.3489078335955507E-2</v>
      </c>
      <c r="I58" s="11">
        <f>B58/B$58</f>
        <v>1</v>
      </c>
      <c r="J58" s="11">
        <f>C58/C$58</f>
        <v>1</v>
      </c>
      <c r="P58" s="12"/>
      <c r="Q58" s="54"/>
      <c r="R58" s="12"/>
      <c r="S58" s="12"/>
      <c r="T58" s="12"/>
      <c r="U58" s="12"/>
      <c r="V58" s="12"/>
      <c r="W58" s="12"/>
      <c r="X58" s="12"/>
      <c r="Y58" s="12"/>
      <c r="Z58" s="12"/>
      <c r="AA58" s="12"/>
      <c r="AB58" s="12"/>
      <c r="AC58" s="12"/>
      <c r="AD58" s="12"/>
      <c r="AE58" s="12"/>
    </row>
    <row r="59" spans="1:31" ht="16" customHeight="1" x14ac:dyDescent="0.35">
      <c r="A59" s="4" t="s">
        <v>94</v>
      </c>
      <c r="B59" s="5" t="s">
        <v>9</v>
      </c>
      <c r="C59" s="5" t="s">
        <v>9</v>
      </c>
      <c r="F59" s="10"/>
      <c r="G59" s="11"/>
      <c r="P59" s="12"/>
      <c r="Q59" s="54"/>
      <c r="R59" s="12"/>
      <c r="S59" s="12"/>
      <c r="T59" s="12"/>
      <c r="U59" s="12"/>
      <c r="V59" s="12"/>
      <c r="W59" s="12"/>
      <c r="X59" s="12"/>
      <c r="Y59" s="12"/>
      <c r="Z59" s="12"/>
      <c r="AA59" s="12"/>
      <c r="AB59" s="12"/>
      <c r="AC59" s="12"/>
      <c r="AD59" s="12"/>
      <c r="AE59" s="12"/>
    </row>
    <row r="60" spans="1:31" ht="16" customHeight="1" x14ac:dyDescent="0.35">
      <c r="A60" s="5" t="s">
        <v>95</v>
      </c>
      <c r="B60" s="7">
        <v>24128</v>
      </c>
      <c r="C60" s="7">
        <v>25992</v>
      </c>
      <c r="F60" s="10">
        <f t="shared" si="10"/>
        <v>-1864</v>
      </c>
      <c r="G60" s="11">
        <f t="shared" si="11"/>
        <v>-7.171437365343182E-2</v>
      </c>
      <c r="I60" s="11">
        <f t="shared" ref="I60:I74" si="12">B60/B$75</f>
        <v>8.4601467061249103E-2</v>
      </c>
      <c r="J60" s="11">
        <f t="shared" ref="J60:J74" si="13">C60/C$75</f>
        <v>9.5100801287914816E-2</v>
      </c>
      <c r="P60" s="12"/>
      <c r="Q60" s="54"/>
      <c r="R60" s="12"/>
      <c r="S60" s="12"/>
      <c r="T60" s="12"/>
      <c r="U60" s="12"/>
      <c r="V60" s="12"/>
      <c r="W60" s="12"/>
      <c r="X60" s="12"/>
      <c r="Y60" s="12"/>
      <c r="Z60" s="12"/>
      <c r="AA60" s="12"/>
      <c r="AB60" s="12"/>
      <c r="AC60" s="12"/>
      <c r="AD60" s="12"/>
      <c r="AE60" s="12"/>
    </row>
    <row r="61" spans="1:31" ht="16" customHeight="1" x14ac:dyDescent="0.35">
      <c r="A61" s="5" t="s">
        <v>96</v>
      </c>
      <c r="B61" s="7">
        <v>27782</v>
      </c>
      <c r="C61" s="7">
        <v>25870</v>
      </c>
      <c r="F61" s="10">
        <f t="shared" si="10"/>
        <v>1912</v>
      </c>
      <c r="G61" s="11">
        <f t="shared" si="11"/>
        <v>7.3908001546192495E-2</v>
      </c>
      <c r="I61" s="11">
        <f t="shared" si="12"/>
        <v>9.7413708467159424E-2</v>
      </c>
      <c r="J61" s="11">
        <f t="shared" si="13"/>
        <v>9.4654421718927226E-2</v>
      </c>
      <c r="P61" s="12"/>
      <c r="Q61" s="54"/>
      <c r="R61" s="12"/>
      <c r="S61" s="12"/>
      <c r="T61" s="12"/>
      <c r="U61" s="12"/>
      <c r="V61" s="12"/>
      <c r="W61" s="12"/>
      <c r="X61" s="12"/>
      <c r="Y61" s="12"/>
      <c r="Z61" s="12"/>
      <c r="AA61" s="12"/>
      <c r="AB61" s="12"/>
      <c r="AC61" s="12"/>
      <c r="AD61" s="12"/>
      <c r="AE61" s="12"/>
    </row>
    <row r="62" spans="1:31" ht="16" customHeight="1" x14ac:dyDescent="0.35">
      <c r="A62" s="5" t="s">
        <v>97</v>
      </c>
      <c r="B62" s="7">
        <v>106859</v>
      </c>
      <c r="C62" s="7">
        <v>101531</v>
      </c>
      <c r="F62" s="10">
        <f t="shared" si="10"/>
        <v>5328</v>
      </c>
      <c r="G62" s="11">
        <f t="shared" si="11"/>
        <v>5.2476583506515254E-2</v>
      </c>
      <c r="I62" s="11">
        <f t="shared" si="12"/>
        <v>0.37468618073184756</v>
      </c>
      <c r="J62" s="11">
        <f t="shared" si="13"/>
        <v>0.37148659031868575</v>
      </c>
      <c r="P62" s="12"/>
      <c r="Q62" s="54"/>
      <c r="R62" s="12"/>
      <c r="S62" s="12"/>
      <c r="T62" s="12"/>
      <c r="U62" s="12"/>
      <c r="V62" s="12"/>
      <c r="W62" s="12"/>
      <c r="X62" s="12"/>
      <c r="Y62" s="12"/>
      <c r="Z62" s="12"/>
      <c r="AA62" s="12"/>
      <c r="AB62" s="12"/>
      <c r="AC62" s="12"/>
      <c r="AD62" s="12"/>
      <c r="AE62" s="12"/>
    </row>
    <row r="63" spans="1:31" ht="16" customHeight="1" x14ac:dyDescent="0.35">
      <c r="A63" s="4" t="s">
        <v>98</v>
      </c>
      <c r="B63" s="5" t="s">
        <v>9</v>
      </c>
      <c r="C63" s="5" t="s">
        <v>9</v>
      </c>
      <c r="F63" s="10"/>
      <c r="G63" s="11"/>
      <c r="I63" s="11"/>
      <c r="J63" s="11"/>
      <c r="P63" s="12"/>
      <c r="Q63" s="54"/>
      <c r="R63" s="12"/>
      <c r="S63" s="12"/>
      <c r="T63" s="12"/>
      <c r="U63" s="12"/>
      <c r="V63" s="12"/>
      <c r="W63" s="12"/>
      <c r="X63" s="12"/>
      <c r="Y63" s="12"/>
      <c r="Z63" s="12"/>
      <c r="AA63" s="12"/>
      <c r="AB63" s="12"/>
      <c r="AC63" s="12"/>
      <c r="AD63" s="12"/>
      <c r="AE63" s="12"/>
    </row>
    <row r="64" spans="1:31" ht="16" customHeight="1" x14ac:dyDescent="0.35">
      <c r="A64" s="5" t="s">
        <v>96</v>
      </c>
      <c r="B64" s="7">
        <v>28832</v>
      </c>
      <c r="C64" s="7">
        <v>28414</v>
      </c>
      <c r="F64" s="10">
        <f t="shared" si="10"/>
        <v>418</v>
      </c>
      <c r="G64" s="11">
        <f t="shared" si="11"/>
        <v>1.4711057929189836E-2</v>
      </c>
      <c r="I64" s="11">
        <f t="shared" si="12"/>
        <v>0.10109538703207618</v>
      </c>
      <c r="J64" s="11">
        <f t="shared" si="13"/>
        <v>0.10396253338699644</v>
      </c>
      <c r="P64" s="12"/>
      <c r="Q64" s="54"/>
      <c r="R64" s="12"/>
      <c r="S64" s="12"/>
      <c r="T64" s="12"/>
      <c r="U64" s="12"/>
      <c r="V64" s="12"/>
      <c r="W64" s="12"/>
      <c r="X64" s="12"/>
      <c r="Y64" s="12"/>
      <c r="Z64" s="12"/>
      <c r="AA64" s="12"/>
      <c r="AB64" s="12"/>
      <c r="AC64" s="12"/>
      <c r="AD64" s="12"/>
      <c r="AE64" s="12"/>
    </row>
    <row r="65" spans="1:31" ht="16" customHeight="1" x14ac:dyDescent="0.35">
      <c r="A65" s="5" t="s">
        <v>14</v>
      </c>
      <c r="B65" s="7">
        <v>1074</v>
      </c>
      <c r="C65" s="7">
        <v>1005</v>
      </c>
      <c r="F65" s="10">
        <f t="shared" si="10"/>
        <v>69</v>
      </c>
      <c r="G65" s="11">
        <f t="shared" si="11"/>
        <v>6.8656716417910449E-2</v>
      </c>
      <c r="I65" s="11">
        <f t="shared" si="12"/>
        <v>3.7658312178291422E-3</v>
      </c>
      <c r="J65" s="11">
        <f t="shared" si="13"/>
        <v>3.6771431707584793E-3</v>
      </c>
      <c r="P65" s="12"/>
      <c r="Q65" s="54"/>
      <c r="R65" s="12"/>
      <c r="S65" s="12"/>
      <c r="T65" s="12"/>
      <c r="U65" s="12"/>
      <c r="V65" s="12"/>
      <c r="W65" s="12"/>
      <c r="X65" s="12"/>
      <c r="Y65" s="12"/>
      <c r="Z65" s="12"/>
      <c r="AA65" s="12"/>
      <c r="AB65" s="12"/>
      <c r="AC65" s="12"/>
      <c r="AD65" s="12"/>
      <c r="AE65" s="12"/>
    </row>
    <row r="66" spans="1:31" ht="16" customHeight="1" thickBot="1" x14ac:dyDescent="0.4">
      <c r="A66" s="5" t="s">
        <v>99</v>
      </c>
      <c r="B66" s="7">
        <v>240338</v>
      </c>
      <c r="C66" s="7">
        <v>230512</v>
      </c>
      <c r="F66" s="10">
        <f t="shared" si="10"/>
        <v>9826</v>
      </c>
      <c r="G66" s="11">
        <f t="shared" si="11"/>
        <v>4.262684805997085E-2</v>
      </c>
      <c r="I66" s="11">
        <f t="shared" si="12"/>
        <v>0.84271167898568</v>
      </c>
      <c r="J66" s="11">
        <f t="shared" si="13"/>
        <v>0.84340858365958071</v>
      </c>
      <c r="P66" s="12"/>
      <c r="Q66" s="55"/>
      <c r="R66" s="12"/>
      <c r="S66" s="12"/>
      <c r="T66" s="12"/>
      <c r="U66" s="12"/>
      <c r="V66" s="12"/>
      <c r="W66" s="12"/>
      <c r="X66" s="12"/>
      <c r="Y66" s="12"/>
      <c r="Z66" s="12"/>
      <c r="AA66" s="12"/>
      <c r="AB66" s="12"/>
      <c r="AC66" s="12"/>
      <c r="AD66" s="12"/>
      <c r="AE66" s="12"/>
    </row>
    <row r="67" spans="1:31" ht="16" customHeight="1" x14ac:dyDescent="0.35">
      <c r="A67" s="4" t="s">
        <v>100</v>
      </c>
      <c r="B67" s="5" t="s">
        <v>9</v>
      </c>
      <c r="C67" s="5" t="s">
        <v>9</v>
      </c>
      <c r="F67" s="10"/>
      <c r="G67" s="11"/>
      <c r="I67" s="11"/>
      <c r="J67" s="11"/>
      <c r="P67" s="12"/>
      <c r="Q67" s="12"/>
      <c r="R67" s="12"/>
      <c r="S67" s="12"/>
      <c r="T67" s="12"/>
      <c r="U67" s="12"/>
      <c r="V67" s="12"/>
      <c r="W67" s="12"/>
      <c r="X67" s="12"/>
      <c r="Y67" s="12"/>
      <c r="Z67" s="12"/>
      <c r="AA67" s="12"/>
      <c r="AB67" s="12"/>
      <c r="AC67" s="12"/>
      <c r="AD67" s="12"/>
      <c r="AE67" s="12"/>
    </row>
    <row r="68" spans="1:31" ht="16" customHeight="1" x14ac:dyDescent="0.35">
      <c r="A68" s="5" t="s">
        <v>101</v>
      </c>
      <c r="B68" s="7">
        <v>23502</v>
      </c>
      <c r="C68" s="7">
        <v>23128</v>
      </c>
      <c r="F68" s="10">
        <f t="shared" si="10"/>
        <v>374</v>
      </c>
      <c r="G68" s="11">
        <f t="shared" si="11"/>
        <v>1.6170875129712901E-2</v>
      </c>
      <c r="I68" s="11">
        <f t="shared" si="12"/>
        <v>8.240648536445111E-2</v>
      </c>
      <c r="J68" s="11">
        <f t="shared" si="13"/>
        <v>8.462185796348469E-2</v>
      </c>
      <c r="P68" s="12"/>
      <c r="Q68" s="12"/>
      <c r="R68" s="12"/>
      <c r="S68" s="12"/>
      <c r="T68" s="12"/>
      <c r="U68" s="12"/>
      <c r="V68" s="12"/>
      <c r="W68" s="12"/>
      <c r="X68" s="12"/>
      <c r="Y68" s="12"/>
      <c r="Z68" s="12"/>
      <c r="AA68" s="12"/>
      <c r="AB68" s="12"/>
      <c r="AC68" s="12"/>
      <c r="AD68" s="12"/>
      <c r="AE68" s="12"/>
    </row>
    <row r="69" spans="1:31" ht="16" customHeight="1" x14ac:dyDescent="0.35">
      <c r="A69" s="5" t="s">
        <v>102</v>
      </c>
      <c r="B69" s="7">
        <v>33740</v>
      </c>
      <c r="C69" s="7">
        <v>31029</v>
      </c>
      <c r="F69" s="10">
        <f t="shared" si="10"/>
        <v>2711</v>
      </c>
      <c r="G69" s="11">
        <f t="shared" si="11"/>
        <v>8.7369879789873983E-2</v>
      </c>
      <c r="I69" s="11">
        <f t="shared" si="12"/>
        <v>0.11830460455265852</v>
      </c>
      <c r="J69" s="11">
        <f t="shared" si="13"/>
        <v>0.11353042332882075</v>
      </c>
      <c r="P69" s="12"/>
      <c r="Q69" s="12"/>
      <c r="R69" s="12"/>
      <c r="S69" s="12"/>
      <c r="T69" s="12"/>
      <c r="U69" s="12"/>
      <c r="V69" s="12"/>
      <c r="W69" s="12"/>
      <c r="X69" s="12"/>
      <c r="Y69" s="12"/>
      <c r="Z69" s="12"/>
      <c r="AA69" s="12"/>
      <c r="AB69" s="12"/>
      <c r="AC69" s="12"/>
      <c r="AD69" s="12"/>
      <c r="AE69" s="12"/>
    </row>
    <row r="70" spans="1:31" ht="16" customHeight="1" x14ac:dyDescent="0.35">
      <c r="A70" s="5" t="s">
        <v>103</v>
      </c>
      <c r="B70" s="7">
        <v>-9639</v>
      </c>
      <c r="C70" s="7">
        <v>-9042</v>
      </c>
      <c r="F70" s="10">
        <f t="shared" si="10"/>
        <v>-597</v>
      </c>
      <c r="G70" s="11">
        <f t="shared" si="11"/>
        <v>6.6025215660252157E-2</v>
      </c>
      <c r="I70" s="11">
        <f t="shared" si="12"/>
        <v>-3.3797809225935845E-2</v>
      </c>
      <c r="J70" s="11">
        <f t="shared" si="13"/>
        <v>-3.308331199004793E-2</v>
      </c>
      <c r="P70" s="12"/>
      <c r="Q70" s="12"/>
      <c r="R70" s="12"/>
      <c r="S70" s="12"/>
      <c r="T70" s="12"/>
      <c r="U70" s="12"/>
      <c r="V70" s="12"/>
      <c r="W70" s="12"/>
      <c r="X70" s="12"/>
      <c r="Y70" s="12"/>
      <c r="Z70" s="12"/>
      <c r="AA70" s="12"/>
      <c r="AB70" s="12"/>
      <c r="AC70" s="12"/>
      <c r="AD70" s="12"/>
      <c r="AE70" s="12"/>
    </row>
    <row r="71" spans="1:31" ht="16" customHeight="1" x14ac:dyDescent="0.35">
      <c r="A71" s="5" t="s">
        <v>104</v>
      </c>
      <c r="B71" s="7">
        <v>-2810</v>
      </c>
      <c r="C71" s="7">
        <v>-2384</v>
      </c>
      <c r="F71" s="10">
        <f t="shared" si="10"/>
        <v>-426</v>
      </c>
      <c r="G71" s="11">
        <f t="shared" si="11"/>
        <v>0.17869127516778524</v>
      </c>
      <c r="I71" s="11">
        <f t="shared" si="12"/>
        <v>-9.8528731118248496E-3</v>
      </c>
      <c r="J71" s="11">
        <f t="shared" si="13"/>
        <v>-8.7226958398887704E-3</v>
      </c>
      <c r="P71" s="12"/>
      <c r="Q71" s="12"/>
      <c r="R71" s="12"/>
      <c r="S71" s="12"/>
      <c r="T71" s="12"/>
      <c r="U71" s="12"/>
      <c r="V71" s="12"/>
      <c r="W71" s="12"/>
      <c r="X71" s="12"/>
      <c r="Y71" s="12"/>
      <c r="Z71" s="12"/>
      <c r="AA71" s="12"/>
      <c r="AB71" s="12"/>
      <c r="AC71" s="12"/>
      <c r="AD71" s="12"/>
      <c r="AE71" s="12"/>
    </row>
    <row r="72" spans="1:31" ht="16" customHeight="1" x14ac:dyDescent="0.35">
      <c r="A72" s="5" t="s">
        <v>105</v>
      </c>
      <c r="B72" s="7">
        <v>44835</v>
      </c>
      <c r="C72" s="7">
        <v>42773</v>
      </c>
      <c r="F72" s="10">
        <f t="shared" si="10"/>
        <v>2062</v>
      </c>
      <c r="G72" s="11">
        <f t="shared" si="11"/>
        <v>4.8207981670680099E-2</v>
      </c>
      <c r="I72" s="11">
        <f t="shared" si="12"/>
        <v>0.15720767472194561</v>
      </c>
      <c r="J72" s="11">
        <f t="shared" si="13"/>
        <v>0.15649994511726611</v>
      </c>
      <c r="P72" s="12"/>
      <c r="Q72" s="12"/>
      <c r="R72" s="12"/>
      <c r="S72" s="12"/>
      <c r="T72" s="12"/>
      <c r="U72" s="12"/>
      <c r="V72" s="12"/>
      <c r="W72" s="12"/>
      <c r="X72" s="12"/>
      <c r="Y72" s="12"/>
      <c r="Z72" s="12"/>
      <c r="AA72" s="12"/>
      <c r="AB72" s="12"/>
      <c r="AC72" s="12"/>
      <c r="AD72" s="12"/>
      <c r="AE72" s="12"/>
    </row>
    <row r="73" spans="1:31" ht="17" customHeight="1" x14ac:dyDescent="0.35">
      <c r="A73" s="5" t="s">
        <v>106</v>
      </c>
      <c r="B73" s="7">
        <v>23</v>
      </c>
      <c r="C73" s="7">
        <v>25</v>
      </c>
      <c r="F73" s="10">
        <f t="shared" si="10"/>
        <v>-2</v>
      </c>
      <c r="G73" s="11">
        <f t="shared" si="11"/>
        <v>-0.08</v>
      </c>
      <c r="I73" s="11">
        <f t="shared" si="12"/>
        <v>8.0646292374367108E-5</v>
      </c>
      <c r="J73" s="11">
        <f t="shared" si="13"/>
        <v>9.1471223153196001E-5</v>
      </c>
      <c r="P73" s="12"/>
      <c r="Q73" s="12"/>
      <c r="R73" s="12"/>
      <c r="S73" s="12"/>
      <c r="T73" s="12"/>
      <c r="U73" s="12"/>
      <c r="V73" s="12"/>
      <c r="W73" s="12"/>
      <c r="X73" s="12"/>
      <c r="Y73" s="12"/>
      <c r="Z73" s="12"/>
      <c r="AA73" s="12"/>
      <c r="AB73" s="12"/>
      <c r="AC73" s="12"/>
      <c r="AD73" s="12"/>
      <c r="AE73" s="12"/>
    </row>
    <row r="74" spans="1:31" ht="17" customHeight="1" x14ac:dyDescent="0.35">
      <c r="A74" s="5" t="s">
        <v>107</v>
      </c>
      <c r="B74" s="7">
        <v>44858</v>
      </c>
      <c r="C74" s="7">
        <v>42798</v>
      </c>
      <c r="F74" s="10">
        <f t="shared" si="10"/>
        <v>2060</v>
      </c>
      <c r="G74" s="11">
        <f t="shared" si="11"/>
        <v>4.8133090331323895E-2</v>
      </c>
      <c r="I74" s="11">
        <f t="shared" si="12"/>
        <v>0.15728832101431997</v>
      </c>
      <c r="J74" s="11">
        <f t="shared" si="13"/>
        <v>0.15659141634041931</v>
      </c>
    </row>
    <row r="75" spans="1:31" x14ac:dyDescent="0.35">
      <c r="A75" s="5" t="s">
        <v>108</v>
      </c>
      <c r="B75" s="7">
        <v>285196</v>
      </c>
      <c r="C75" s="7">
        <v>273310</v>
      </c>
      <c r="F75" s="10">
        <f t="shared" si="10"/>
        <v>11886</v>
      </c>
      <c r="G75" s="11">
        <f t="shared" si="11"/>
        <v>4.3489078335955507E-2</v>
      </c>
      <c r="I75" s="11">
        <f>B75/B$75</f>
        <v>1</v>
      </c>
      <c r="J75" s="11">
        <f>C75/C$75</f>
        <v>1</v>
      </c>
    </row>
    <row r="76" spans="1:31" x14ac:dyDescent="0.35">
      <c r="A76" s="5"/>
      <c r="B76" s="5" t="s">
        <v>9</v>
      </c>
      <c r="C76" s="5" t="s">
        <v>9</v>
      </c>
      <c r="F76" s="10"/>
      <c r="G76" s="11"/>
    </row>
    <row r="77" spans="1:31" x14ac:dyDescent="0.35">
      <c r="A77" s="4"/>
      <c r="B77" s="5"/>
      <c r="C77" s="5"/>
      <c r="F77" s="10"/>
      <c r="G77" s="11"/>
    </row>
    <row r="78" spans="1:31" x14ac:dyDescent="0.35">
      <c r="A78" s="5"/>
      <c r="B78" s="6"/>
      <c r="C78" s="7"/>
      <c r="F78" s="10"/>
      <c r="G78" s="11"/>
    </row>
    <row r="79" spans="1:31" x14ac:dyDescent="0.35">
      <c r="A79" s="5"/>
      <c r="B79" s="9"/>
      <c r="C79" s="5"/>
      <c r="F79" s="10"/>
      <c r="G79" s="11"/>
    </row>
    <row r="80" spans="1:31" x14ac:dyDescent="0.35">
      <c r="A80" s="5"/>
      <c r="B80" s="7"/>
      <c r="C80" s="5"/>
      <c r="F80" s="10"/>
      <c r="G80" s="11"/>
    </row>
    <row r="81" spans="1:7" x14ac:dyDescent="0.35">
      <c r="A81" s="5"/>
      <c r="B81" s="7"/>
      <c r="C81" s="5"/>
      <c r="F81" s="10"/>
      <c r="G81" s="11"/>
    </row>
    <row r="82" spans="1:7" x14ac:dyDescent="0.35">
      <c r="A82" s="5"/>
      <c r="B82" s="5"/>
      <c r="C82" s="5"/>
      <c r="F82" s="10"/>
      <c r="G82" s="11"/>
    </row>
    <row r="83" spans="1:7" x14ac:dyDescent="0.35">
      <c r="A83" s="4"/>
      <c r="B83" s="5"/>
      <c r="C83" s="5"/>
      <c r="F83" s="10"/>
      <c r="G83" s="11"/>
    </row>
    <row r="84" spans="1:7" x14ac:dyDescent="0.35">
      <c r="A84" s="5"/>
      <c r="B84" s="6"/>
      <c r="C84" s="7"/>
      <c r="F84" s="10"/>
      <c r="G84" s="11"/>
    </row>
    <row r="85" spans="1:7" x14ac:dyDescent="0.35">
      <c r="A85" s="5"/>
      <c r="B85" s="9"/>
      <c r="C85" s="5"/>
      <c r="F85" s="10"/>
      <c r="G85" s="11"/>
    </row>
    <row r="86" spans="1:7" x14ac:dyDescent="0.35">
      <c r="A86" s="5"/>
      <c r="B86" s="7"/>
      <c r="C86" s="5"/>
      <c r="F86" s="10"/>
      <c r="G86" s="11"/>
    </row>
    <row r="87" spans="1:7" x14ac:dyDescent="0.35">
      <c r="A87" s="5"/>
      <c r="B87" s="7"/>
      <c r="C87" s="5"/>
      <c r="F87" s="10"/>
      <c r="G87" s="11"/>
    </row>
    <row r="88" spans="1:7" x14ac:dyDescent="0.35">
      <c r="A88" s="5"/>
      <c r="B88" s="5"/>
      <c r="C88" s="5"/>
      <c r="F88" s="10"/>
      <c r="G88" s="11"/>
    </row>
    <row r="89" spans="1:7" x14ac:dyDescent="0.35">
      <c r="A89" s="4"/>
      <c r="B89" s="5"/>
      <c r="C89" s="5"/>
      <c r="F89" s="10"/>
      <c r="G89" s="11"/>
    </row>
    <row r="90" spans="1:7" x14ac:dyDescent="0.35">
      <c r="A90" s="5"/>
      <c r="B90" s="6"/>
      <c r="C90" s="7"/>
      <c r="F90" s="10"/>
      <c r="G90" s="11"/>
    </row>
    <row r="91" spans="1:7" x14ac:dyDescent="0.35">
      <c r="A91" s="4"/>
      <c r="B91" s="5"/>
      <c r="C91" s="5"/>
      <c r="F91" s="10"/>
      <c r="G91" s="11"/>
    </row>
    <row r="92" spans="1:7" x14ac:dyDescent="0.35">
      <c r="A92" s="5"/>
      <c r="B92" s="7"/>
      <c r="C92" s="7"/>
      <c r="F92" s="10"/>
      <c r="G92" s="11"/>
    </row>
    <row r="93" spans="1:7" x14ac:dyDescent="0.35">
      <c r="A93" s="5"/>
      <c r="B93" s="5"/>
      <c r="C93" s="5"/>
      <c r="F93" s="10"/>
      <c r="G93" s="11"/>
    </row>
    <row r="94" spans="1:7" x14ac:dyDescent="0.35">
      <c r="A94" s="4"/>
      <c r="B94" s="5"/>
      <c r="C94" s="5"/>
      <c r="F94" s="10"/>
      <c r="G94" s="11"/>
    </row>
    <row r="95" spans="1:7" x14ac:dyDescent="0.35">
      <c r="A95" s="5"/>
      <c r="B95" s="7"/>
      <c r="C95" s="7"/>
      <c r="F95" s="10"/>
      <c r="G95" s="11"/>
    </row>
    <row r="96" spans="1:7" x14ac:dyDescent="0.35">
      <c r="A96" s="4"/>
      <c r="B96" s="5"/>
      <c r="C96" s="5"/>
      <c r="F96" s="10"/>
      <c r="G96" s="11"/>
    </row>
    <row r="97" spans="1:7" x14ac:dyDescent="0.35">
      <c r="A97" s="5"/>
      <c r="B97" s="7"/>
      <c r="C97" s="7"/>
      <c r="F97" s="10"/>
      <c r="G97" s="11"/>
    </row>
    <row r="98" spans="1:7" x14ac:dyDescent="0.35">
      <c r="A98" s="4"/>
      <c r="B98" s="5"/>
      <c r="C98" s="5"/>
      <c r="F98" s="10"/>
      <c r="G98" s="11"/>
    </row>
    <row r="99" spans="1:7" x14ac:dyDescent="0.35">
      <c r="A99" s="5"/>
      <c r="B99" s="7"/>
      <c r="C99" s="7"/>
      <c r="F99" s="10"/>
      <c r="G99" s="11"/>
    </row>
    <row r="100" spans="1:7" x14ac:dyDescent="0.35">
      <c r="A100" s="4"/>
      <c r="B100" s="5"/>
      <c r="C100" s="5"/>
      <c r="F100" s="10"/>
      <c r="G100" s="11"/>
    </row>
    <row r="101" spans="1:7" x14ac:dyDescent="0.35">
      <c r="A101" s="5"/>
      <c r="B101" s="7"/>
      <c r="C101" s="7"/>
      <c r="F101" s="10"/>
      <c r="G101" s="11"/>
    </row>
    <row r="102" spans="1:7" x14ac:dyDescent="0.35">
      <c r="A102" s="5"/>
      <c r="B102" s="5"/>
      <c r="C102" s="5"/>
      <c r="F102" s="10"/>
      <c r="G102" s="11"/>
    </row>
    <row r="103" spans="1:7" x14ac:dyDescent="0.35">
      <c r="A103" s="4"/>
      <c r="B103" s="5"/>
      <c r="C103" s="5"/>
      <c r="F103" s="10"/>
      <c r="G103" s="11"/>
    </row>
    <row r="104" spans="1:7" x14ac:dyDescent="0.35">
      <c r="A104" s="5"/>
      <c r="B104" s="7"/>
      <c r="C104" s="7"/>
      <c r="F104" s="10"/>
      <c r="G104" s="11"/>
    </row>
    <row r="105" spans="1:7" x14ac:dyDescent="0.35">
      <c r="A105" s="4"/>
      <c r="B105" s="5"/>
      <c r="C105" s="5"/>
      <c r="F105" s="10"/>
      <c r="G105" s="11"/>
    </row>
    <row r="106" spans="1:7" x14ac:dyDescent="0.35">
      <c r="A106" s="5"/>
      <c r="B106" s="7"/>
      <c r="C106" s="7"/>
      <c r="F106" s="10"/>
      <c r="G106" s="11"/>
    </row>
    <row r="107" spans="1:7" x14ac:dyDescent="0.35">
      <c r="A107" s="4"/>
      <c r="B107" s="5"/>
      <c r="C107" s="5"/>
      <c r="F107" s="10"/>
      <c r="G107" s="11"/>
    </row>
    <row r="108" spans="1:7" x14ac:dyDescent="0.35">
      <c r="A108" s="5"/>
      <c r="B108" s="6"/>
      <c r="C108" s="6"/>
      <c r="F108" s="10"/>
      <c r="G108" s="11"/>
    </row>
  </sheetData>
  <mergeCells count="9">
    <mergeCell ref="Q7:Q42"/>
    <mergeCell ref="Q44:Q66"/>
    <mergeCell ref="A5:L5"/>
    <mergeCell ref="A7:A8"/>
    <mergeCell ref="B7:D7"/>
    <mergeCell ref="F7:G7"/>
    <mergeCell ref="L7:N7"/>
    <mergeCell ref="F41:G41"/>
    <mergeCell ref="I41:J4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8CC5-8D5B-4980-81C4-4B776740F757}">
  <dimension ref="A2:AK103"/>
  <sheetViews>
    <sheetView topLeftCell="A18" zoomScale="93" workbookViewId="0">
      <selection activeCell="J91" sqref="J91"/>
    </sheetView>
  </sheetViews>
  <sheetFormatPr defaultColWidth="8.81640625" defaultRowHeight="14.5" x14ac:dyDescent="0.35"/>
  <cols>
    <col min="1" max="1" width="65.1796875" customWidth="1"/>
    <col min="2" max="2" width="13.1796875" customWidth="1"/>
    <col min="3" max="3" width="12.81640625" customWidth="1"/>
    <col min="4" max="4" width="13.453125" customWidth="1"/>
    <col min="6" max="6" width="24" customWidth="1"/>
    <col min="10" max="10" width="11.81640625" customWidth="1"/>
    <col min="11" max="13" width="12.81640625" customWidth="1"/>
    <col min="15" max="15" width="8.81640625" customWidth="1"/>
    <col min="26" max="26" width="8.81640625" customWidth="1"/>
  </cols>
  <sheetData>
    <row r="2" spans="1:37" x14ac:dyDescent="0.35">
      <c r="D2" s="1" t="s">
        <v>0</v>
      </c>
      <c r="E2" s="1">
        <f>SUM(F2:G2)</f>
        <v>6</v>
      </c>
      <c r="F2" s="1">
        <v>3</v>
      </c>
      <c r="G2" s="1">
        <v>3</v>
      </c>
    </row>
    <row r="3" spans="1:37" x14ac:dyDescent="0.35">
      <c r="D3" s="1" t="s">
        <v>1</v>
      </c>
      <c r="E3" s="1">
        <f>SUM(F3:G3)</f>
        <v>0</v>
      </c>
      <c r="F3" s="1">
        <v>0</v>
      </c>
      <c r="G3" s="1">
        <v>0</v>
      </c>
    </row>
    <row r="5" spans="1:37" ht="15" thickBot="1" x14ac:dyDescent="0.4">
      <c r="A5" s="40" t="s">
        <v>2</v>
      </c>
      <c r="B5" s="40"/>
      <c r="C5" s="40"/>
      <c r="D5" s="40"/>
      <c r="E5" s="40"/>
      <c r="F5" s="40"/>
      <c r="G5" s="40"/>
      <c r="H5" s="40"/>
      <c r="I5" s="40"/>
      <c r="J5" s="40"/>
      <c r="K5" s="40"/>
      <c r="L5" s="40"/>
    </row>
    <row r="6" spans="1:37" x14ac:dyDescent="0.35">
      <c r="O6" s="60" t="s">
        <v>214</v>
      </c>
      <c r="P6" s="70"/>
      <c r="Q6" s="70"/>
      <c r="R6" s="70"/>
      <c r="S6" s="70"/>
      <c r="T6" s="70"/>
      <c r="U6" s="70"/>
      <c r="V6" s="70"/>
      <c r="W6" s="70"/>
      <c r="X6" s="70"/>
      <c r="Y6" s="71"/>
      <c r="AA6" s="25"/>
      <c r="AB6" s="26"/>
      <c r="AC6" s="26"/>
      <c r="AD6" s="26"/>
      <c r="AE6" s="26"/>
      <c r="AF6" s="26"/>
      <c r="AG6" s="26"/>
      <c r="AH6" s="26"/>
      <c r="AI6" s="26"/>
      <c r="AJ6" s="26"/>
      <c r="AK6" s="26"/>
    </row>
    <row r="7" spans="1:37" x14ac:dyDescent="0.35">
      <c r="A7" s="8" t="s">
        <v>118</v>
      </c>
      <c r="B7" s="3" t="s">
        <v>50</v>
      </c>
      <c r="C7" s="3" t="s">
        <v>51</v>
      </c>
      <c r="K7" s="3" t="s">
        <v>50</v>
      </c>
      <c r="L7" s="3" t="s">
        <v>51</v>
      </c>
      <c r="M7" s="3" t="s">
        <v>52</v>
      </c>
      <c r="O7" s="72"/>
      <c r="P7" s="73"/>
      <c r="Q7" s="73"/>
      <c r="R7" s="73"/>
      <c r="S7" s="73"/>
      <c r="T7" s="73"/>
      <c r="U7" s="73"/>
      <c r="V7" s="73"/>
      <c r="W7" s="73"/>
      <c r="X7" s="73"/>
      <c r="Y7" s="74"/>
      <c r="AA7" s="26"/>
      <c r="AB7" s="26"/>
      <c r="AC7" s="26"/>
      <c r="AD7" s="26"/>
      <c r="AE7" s="26"/>
      <c r="AF7" s="26"/>
      <c r="AG7" s="26"/>
      <c r="AH7" s="26"/>
      <c r="AI7" s="26"/>
      <c r="AJ7" s="26"/>
      <c r="AK7" s="26"/>
    </row>
    <row r="8" spans="1:37" x14ac:dyDescent="0.35">
      <c r="A8" s="4" t="s">
        <v>119</v>
      </c>
      <c r="B8" s="5" t="s">
        <v>9</v>
      </c>
      <c r="C8" s="5" t="s">
        <v>9</v>
      </c>
      <c r="F8" s="96" t="s">
        <v>189</v>
      </c>
      <c r="G8" s="96"/>
      <c r="H8" s="96"/>
      <c r="O8" s="72"/>
      <c r="P8" s="73"/>
      <c r="Q8" s="73"/>
      <c r="R8" s="73"/>
      <c r="S8" s="73"/>
      <c r="T8" s="73"/>
      <c r="U8" s="73"/>
      <c r="V8" s="73"/>
      <c r="W8" s="73"/>
      <c r="X8" s="73"/>
      <c r="Y8" s="74"/>
      <c r="AA8" s="26"/>
      <c r="AB8" s="26"/>
      <c r="AC8" s="26"/>
      <c r="AD8" s="26"/>
      <c r="AE8" s="26"/>
      <c r="AF8" s="26"/>
      <c r="AG8" s="26"/>
      <c r="AH8" s="26"/>
      <c r="AI8" s="26"/>
      <c r="AJ8" s="26"/>
      <c r="AK8" s="26"/>
    </row>
    <row r="9" spans="1:37" x14ac:dyDescent="0.35">
      <c r="A9" s="5" t="s">
        <v>79</v>
      </c>
      <c r="B9" s="6">
        <v>23466</v>
      </c>
      <c r="C9" s="6">
        <v>24048</v>
      </c>
      <c r="E9">
        <v>1</v>
      </c>
      <c r="F9" s="95" t="s">
        <v>194</v>
      </c>
      <c r="G9" s="95"/>
      <c r="J9" t="s">
        <v>193</v>
      </c>
      <c r="K9" s="11">
        <f>G10/G11</f>
        <v>0.58200435406179107</v>
      </c>
      <c r="L9" s="11">
        <f t="shared" ref="L9:M9" si="0">H10/H11</f>
        <v>0.56625047984020505</v>
      </c>
      <c r="M9" s="11">
        <f t="shared" si="0"/>
        <v>0.55379442503783116</v>
      </c>
      <c r="O9" s="72"/>
      <c r="P9" s="73"/>
      <c r="Q9" s="73"/>
      <c r="R9" s="73"/>
      <c r="S9" s="73"/>
      <c r="T9" s="73"/>
      <c r="U9" s="73"/>
      <c r="V9" s="73"/>
      <c r="W9" s="73"/>
      <c r="X9" s="73"/>
      <c r="Y9" s="74"/>
      <c r="AA9" s="26"/>
      <c r="AB9" s="26"/>
      <c r="AC9" s="26"/>
      <c r="AD9" s="26"/>
      <c r="AE9" s="26"/>
      <c r="AF9" s="26"/>
      <c r="AG9" s="26"/>
      <c r="AH9" s="26"/>
      <c r="AI9" s="26"/>
      <c r="AJ9" s="26"/>
      <c r="AK9" s="26"/>
    </row>
    <row r="10" spans="1:37" x14ac:dyDescent="0.35">
      <c r="A10" s="5" t="s">
        <v>120</v>
      </c>
      <c r="B10" s="7">
        <v>72191</v>
      </c>
      <c r="C10" s="7">
        <v>86868</v>
      </c>
      <c r="F10" t="str">
        <f>A50</f>
        <v>GROSS PROFIT</v>
      </c>
      <c r="G10">
        <f t="shared" ref="G10:I10" si="1">B50</f>
        <v>203712</v>
      </c>
      <c r="H10">
        <f t="shared" si="1"/>
        <v>174062</v>
      </c>
      <c r="I10">
        <f t="shared" si="1"/>
        <v>156633</v>
      </c>
      <c r="J10" t="s">
        <v>191</v>
      </c>
      <c r="O10" s="72"/>
      <c r="P10" s="73"/>
      <c r="Q10" s="73"/>
      <c r="R10" s="73"/>
      <c r="S10" s="73"/>
      <c r="T10" s="73"/>
      <c r="U10" s="73"/>
      <c r="V10" s="73"/>
      <c r="W10" s="73"/>
      <c r="X10" s="73"/>
      <c r="Y10" s="74"/>
      <c r="AA10" s="26"/>
      <c r="AB10" s="26"/>
      <c r="AC10" s="26"/>
      <c r="AD10" s="26"/>
      <c r="AE10" s="26"/>
      <c r="AF10" s="26"/>
      <c r="AG10" s="26"/>
      <c r="AH10" s="26"/>
      <c r="AI10" s="26"/>
      <c r="AJ10" s="26"/>
      <c r="AK10" s="26"/>
    </row>
    <row r="11" spans="1:37" x14ac:dyDescent="0.35">
      <c r="A11" s="5" t="s">
        <v>121</v>
      </c>
      <c r="B11" s="7">
        <v>95657</v>
      </c>
      <c r="C11" s="7">
        <v>110916</v>
      </c>
      <c r="F11" t="str">
        <f>A47</f>
        <v>Revenues</v>
      </c>
      <c r="G11">
        <f t="shared" ref="G11:I11" si="2">B47</f>
        <v>350018</v>
      </c>
      <c r="H11">
        <f t="shared" si="2"/>
        <v>307394</v>
      </c>
      <c r="I11">
        <f t="shared" si="2"/>
        <v>282836</v>
      </c>
      <c r="J11" t="s">
        <v>192</v>
      </c>
      <c r="O11" s="72"/>
      <c r="P11" s="73"/>
      <c r="Q11" s="73"/>
      <c r="R11" s="73"/>
      <c r="S11" s="73"/>
      <c r="T11" s="73"/>
      <c r="U11" s="73"/>
      <c r="V11" s="73"/>
      <c r="W11" s="73"/>
      <c r="X11" s="73"/>
      <c r="Y11" s="74"/>
      <c r="AA11" s="26"/>
      <c r="AB11" s="26"/>
      <c r="AC11" s="26"/>
      <c r="AD11" s="26"/>
      <c r="AE11" s="26"/>
      <c r="AF11" s="26"/>
      <c r="AG11" s="26"/>
      <c r="AH11" s="26"/>
      <c r="AI11" s="26"/>
      <c r="AJ11" s="26"/>
      <c r="AK11" s="26"/>
    </row>
    <row r="12" spans="1:37" x14ac:dyDescent="0.35">
      <c r="A12" s="5" t="s">
        <v>122</v>
      </c>
      <c r="B12" s="7">
        <v>52340</v>
      </c>
      <c r="C12" s="7">
        <v>47964</v>
      </c>
      <c r="O12" s="72"/>
      <c r="P12" s="73"/>
      <c r="Q12" s="73"/>
      <c r="R12" s="73"/>
      <c r="S12" s="73"/>
      <c r="T12" s="73"/>
      <c r="U12" s="73"/>
      <c r="V12" s="73"/>
      <c r="W12" s="73"/>
      <c r="X12" s="73"/>
      <c r="Y12" s="74"/>
      <c r="AA12" s="26"/>
      <c r="AB12" s="26"/>
      <c r="AC12" s="26"/>
      <c r="AD12" s="26"/>
      <c r="AE12" s="26"/>
      <c r="AF12" s="26"/>
      <c r="AG12" s="26"/>
      <c r="AH12" s="26"/>
      <c r="AI12" s="26"/>
      <c r="AJ12" s="26"/>
      <c r="AK12" s="26"/>
    </row>
    <row r="13" spans="1:37" x14ac:dyDescent="0.35">
      <c r="A13" s="5" t="s">
        <v>123</v>
      </c>
      <c r="B13" s="7">
        <v>15714</v>
      </c>
      <c r="C13" s="7">
        <v>12650</v>
      </c>
      <c r="E13">
        <v>2</v>
      </c>
      <c r="F13" s="95" t="s">
        <v>195</v>
      </c>
      <c r="G13" s="95"/>
      <c r="H13" s="95"/>
      <c r="J13" t="s">
        <v>193</v>
      </c>
      <c r="K13" s="11">
        <f>G14/G15</f>
        <v>0.32109777211457696</v>
      </c>
      <c r="L13" s="11">
        <f t="shared" ref="L13" si="3">H14/H15</f>
        <v>0.27421810445226646</v>
      </c>
      <c r="M13" s="11">
        <f t="shared" ref="M13" si="4">I14/I15</f>
        <v>0.26461270842467011</v>
      </c>
      <c r="O13" s="72"/>
      <c r="P13" s="73"/>
      <c r="Q13" s="73"/>
      <c r="R13" s="73"/>
      <c r="S13" s="73"/>
      <c r="T13" s="73"/>
      <c r="U13" s="73"/>
      <c r="V13" s="73"/>
      <c r="W13" s="73"/>
      <c r="X13" s="73"/>
      <c r="Y13" s="74"/>
      <c r="AA13" s="26"/>
      <c r="AB13" s="26"/>
      <c r="AC13" s="26"/>
      <c r="AD13" s="26"/>
      <c r="AE13" s="26"/>
      <c r="AF13" s="26"/>
      <c r="AG13" s="26"/>
      <c r="AH13" s="26"/>
      <c r="AI13" s="26"/>
      <c r="AJ13" s="26"/>
      <c r="AK13" s="26"/>
    </row>
    <row r="14" spans="1:37" x14ac:dyDescent="0.35">
      <c r="A14" s="5" t="s">
        <v>85</v>
      </c>
      <c r="B14" s="7">
        <v>163711</v>
      </c>
      <c r="C14" s="7">
        <v>171530</v>
      </c>
      <c r="F14" t="str">
        <f>A55</f>
        <v>Income from operations</v>
      </c>
      <c r="G14">
        <f t="shared" ref="G14:I14" si="5">B55</f>
        <v>112390</v>
      </c>
      <c r="H14">
        <f t="shared" si="5"/>
        <v>84293</v>
      </c>
      <c r="I14">
        <f t="shared" si="5"/>
        <v>74842</v>
      </c>
      <c r="J14" t="s">
        <v>191</v>
      </c>
      <c r="O14" s="72"/>
      <c r="P14" s="73"/>
      <c r="Q14" s="73"/>
      <c r="R14" s="73"/>
      <c r="S14" s="73"/>
      <c r="T14" s="73"/>
      <c r="U14" s="73"/>
      <c r="V14" s="73"/>
      <c r="W14" s="73"/>
      <c r="X14" s="73"/>
      <c r="Y14" s="74"/>
      <c r="AA14" s="26"/>
      <c r="AB14" s="26"/>
      <c r="AC14" s="26"/>
      <c r="AD14" s="26"/>
      <c r="AE14" s="26"/>
      <c r="AF14" s="26"/>
      <c r="AG14" s="26"/>
      <c r="AH14" s="26"/>
      <c r="AI14" s="26"/>
      <c r="AJ14" s="26"/>
      <c r="AK14" s="26"/>
    </row>
    <row r="15" spans="1:37" x14ac:dyDescent="0.35">
      <c r="A15" s="5" t="s">
        <v>124</v>
      </c>
      <c r="B15" s="7">
        <v>37982</v>
      </c>
      <c r="C15" s="7">
        <v>31008</v>
      </c>
      <c r="F15" s="19" t="str">
        <f>A47</f>
        <v>Revenues</v>
      </c>
      <c r="G15" s="19">
        <f t="shared" ref="G15:I15" si="6">B47</f>
        <v>350018</v>
      </c>
      <c r="H15" s="19">
        <f t="shared" si="6"/>
        <v>307394</v>
      </c>
      <c r="I15" s="19">
        <f t="shared" si="6"/>
        <v>282836</v>
      </c>
      <c r="J15" s="19" t="s">
        <v>192</v>
      </c>
      <c r="K15" s="19"/>
      <c r="L15" s="19"/>
      <c r="M15" s="19"/>
      <c r="O15" s="72"/>
      <c r="P15" s="73"/>
      <c r="Q15" s="73"/>
      <c r="R15" s="73"/>
      <c r="S15" s="73"/>
      <c r="T15" s="73"/>
      <c r="U15" s="73"/>
      <c r="V15" s="73"/>
      <c r="W15" s="73"/>
      <c r="X15" s="73"/>
      <c r="Y15" s="74"/>
      <c r="AA15" s="26"/>
      <c r="AB15" s="26"/>
      <c r="AC15" s="26"/>
      <c r="AD15" s="26"/>
      <c r="AE15" s="26"/>
      <c r="AF15" s="26"/>
      <c r="AG15" s="26"/>
      <c r="AH15" s="26"/>
      <c r="AI15" s="26"/>
      <c r="AJ15" s="26"/>
      <c r="AK15" s="26"/>
    </row>
    <row r="16" spans="1:37" x14ac:dyDescent="0.35">
      <c r="A16" s="5" t="s">
        <v>14</v>
      </c>
      <c r="B16" s="7">
        <v>17180</v>
      </c>
      <c r="C16" s="7">
        <v>12169</v>
      </c>
      <c r="J16" s="3" t="s">
        <v>50</v>
      </c>
      <c r="K16" s="3" t="s">
        <v>51</v>
      </c>
      <c r="O16" s="72"/>
      <c r="P16" s="73"/>
      <c r="Q16" s="73"/>
      <c r="R16" s="73"/>
      <c r="S16" s="73"/>
      <c r="T16" s="73"/>
      <c r="U16" s="73"/>
      <c r="V16" s="73"/>
      <c r="W16" s="73"/>
      <c r="X16" s="73"/>
      <c r="Y16" s="74"/>
      <c r="AA16" s="26"/>
      <c r="AB16" s="26"/>
      <c r="AC16" s="26"/>
      <c r="AD16" s="26"/>
      <c r="AE16" s="26"/>
      <c r="AF16" s="26"/>
      <c r="AG16" s="26"/>
      <c r="AH16" s="26"/>
      <c r="AI16" s="26"/>
      <c r="AJ16" s="26"/>
      <c r="AK16" s="26"/>
    </row>
    <row r="17" spans="1:37" x14ac:dyDescent="0.35">
      <c r="A17" s="5" t="s">
        <v>125</v>
      </c>
      <c r="B17" s="7">
        <v>171036</v>
      </c>
      <c r="C17" s="7">
        <v>134345</v>
      </c>
      <c r="F17" s="96" t="s">
        <v>196</v>
      </c>
      <c r="G17" s="96"/>
      <c r="J17" s="3"/>
      <c r="K17" s="3"/>
      <c r="O17" s="72"/>
      <c r="P17" s="73"/>
      <c r="Q17" s="73"/>
      <c r="R17" s="73"/>
      <c r="S17" s="73"/>
      <c r="T17" s="73"/>
      <c r="U17" s="73"/>
      <c r="V17" s="73"/>
      <c r="W17" s="73"/>
      <c r="X17" s="73"/>
      <c r="Y17" s="74"/>
      <c r="AA17" s="26"/>
      <c r="AB17" s="26"/>
      <c r="AC17" s="26"/>
      <c r="AD17" s="26"/>
      <c r="AE17" s="26"/>
      <c r="AF17" s="26"/>
      <c r="AG17" s="26"/>
      <c r="AH17" s="26"/>
      <c r="AI17" s="26"/>
      <c r="AJ17" s="26"/>
      <c r="AK17" s="26"/>
    </row>
    <row r="18" spans="1:37" ht="15" thickBot="1" x14ac:dyDescent="0.4">
      <c r="A18" s="5" t="s">
        <v>126</v>
      </c>
      <c r="B18" s="7">
        <v>13588</v>
      </c>
      <c r="C18" s="7">
        <v>14091</v>
      </c>
      <c r="E18">
        <v>3</v>
      </c>
      <c r="F18" t="s">
        <v>197</v>
      </c>
      <c r="I18" t="s">
        <v>193</v>
      </c>
      <c r="J18" s="11">
        <f>G19/G20</f>
        <v>1.8369313974102914</v>
      </c>
      <c r="K18" s="11">
        <f>H19/H20</f>
        <v>2.0965849365634242</v>
      </c>
      <c r="L18" s="11"/>
      <c r="O18" s="75"/>
      <c r="P18" s="76"/>
      <c r="Q18" s="76"/>
      <c r="R18" s="76"/>
      <c r="S18" s="76"/>
      <c r="T18" s="76"/>
      <c r="U18" s="76"/>
      <c r="V18" s="76"/>
      <c r="W18" s="76"/>
      <c r="X18" s="76"/>
      <c r="Y18" s="77"/>
      <c r="AA18" s="26"/>
      <c r="AB18" s="26"/>
      <c r="AC18" s="26"/>
      <c r="AD18" s="26"/>
      <c r="AE18" s="26"/>
      <c r="AF18" s="26"/>
      <c r="AG18" s="26"/>
      <c r="AH18" s="26"/>
      <c r="AI18" s="26"/>
      <c r="AJ18" s="26"/>
      <c r="AK18" s="26"/>
    </row>
    <row r="19" spans="1:37" ht="15" thickBot="1" x14ac:dyDescent="0.4">
      <c r="A19" s="5" t="s">
        <v>127</v>
      </c>
      <c r="B19" s="7">
        <v>31885</v>
      </c>
      <c r="C19" s="7">
        <v>29198</v>
      </c>
      <c r="F19" t="str">
        <f>A14</f>
        <v>Total current assets</v>
      </c>
      <c r="G19">
        <f t="shared" ref="G19:H19" si="7">B14</f>
        <v>163711</v>
      </c>
      <c r="H19">
        <f t="shared" si="7"/>
        <v>171530</v>
      </c>
      <c r="I19" t="s">
        <v>191</v>
      </c>
      <c r="AA19" s="26"/>
      <c r="AB19" s="26"/>
      <c r="AC19" s="26"/>
      <c r="AD19" s="26"/>
      <c r="AE19" s="26"/>
      <c r="AF19" s="26"/>
      <c r="AG19" s="26"/>
      <c r="AH19" s="26"/>
      <c r="AI19" s="26"/>
      <c r="AJ19" s="26"/>
      <c r="AK19" s="26"/>
    </row>
    <row r="20" spans="1:37" x14ac:dyDescent="0.35">
      <c r="A20" s="5" t="s">
        <v>128</v>
      </c>
      <c r="B20" s="7">
        <v>14874</v>
      </c>
      <c r="C20" s="7">
        <v>10051</v>
      </c>
      <c r="F20" t="str">
        <f>A28</f>
        <v>Total current liabilities</v>
      </c>
      <c r="G20">
        <f t="shared" ref="G20:H20" si="8">B28</f>
        <v>89122</v>
      </c>
      <c r="H20">
        <f t="shared" si="8"/>
        <v>81814</v>
      </c>
      <c r="I20" t="s">
        <v>192</v>
      </c>
      <c r="O20" s="69" t="s">
        <v>218</v>
      </c>
      <c r="P20" s="87"/>
      <c r="Q20" s="87"/>
      <c r="R20" s="87"/>
      <c r="S20" s="87"/>
      <c r="T20" s="87"/>
      <c r="U20" s="87"/>
      <c r="V20" s="87"/>
      <c r="W20" s="87"/>
      <c r="X20" s="87"/>
      <c r="Y20" s="88"/>
      <c r="AA20" s="26"/>
      <c r="AB20" s="26"/>
      <c r="AC20" s="26"/>
      <c r="AD20" s="26"/>
      <c r="AE20" s="26"/>
      <c r="AF20" s="26"/>
      <c r="AG20" s="26"/>
      <c r="AH20" s="26"/>
      <c r="AI20" s="26"/>
      <c r="AJ20" s="26"/>
      <c r="AK20" s="26"/>
    </row>
    <row r="21" spans="1:37" x14ac:dyDescent="0.35">
      <c r="A21" s="5" t="s">
        <v>93</v>
      </c>
      <c r="B21" s="7">
        <v>450256</v>
      </c>
      <c r="C21" s="7">
        <v>402392</v>
      </c>
      <c r="O21" s="89"/>
      <c r="P21" s="90"/>
      <c r="Q21" s="90"/>
      <c r="R21" s="90"/>
      <c r="S21" s="90"/>
      <c r="T21" s="90"/>
      <c r="U21" s="90"/>
      <c r="V21" s="90"/>
      <c r="W21" s="90"/>
      <c r="X21" s="90"/>
      <c r="Y21" s="91"/>
      <c r="AA21" s="26"/>
      <c r="AB21" s="26"/>
      <c r="AC21" s="26"/>
      <c r="AD21" s="26"/>
      <c r="AE21" s="26"/>
      <c r="AF21" s="26"/>
      <c r="AG21" s="26"/>
      <c r="AH21" s="26"/>
      <c r="AI21" s="26"/>
      <c r="AJ21" s="26"/>
      <c r="AK21" s="26"/>
    </row>
    <row r="22" spans="1:37" x14ac:dyDescent="0.35">
      <c r="A22" s="4" t="s">
        <v>129</v>
      </c>
      <c r="B22" s="5" t="s">
        <v>9</v>
      </c>
      <c r="C22" s="5" t="s">
        <v>9</v>
      </c>
      <c r="E22">
        <v>4</v>
      </c>
      <c r="F22" t="s">
        <v>198</v>
      </c>
      <c r="I22" t="s">
        <v>200</v>
      </c>
      <c r="J22" s="11">
        <f>(G23+G24)/G25</f>
        <v>0.76420445467037357</v>
      </c>
      <c r="K22" s="11">
        <f>(H23+H24)/H25</f>
        <v>0.93196541554283985</v>
      </c>
      <c r="O22" s="89"/>
      <c r="P22" s="90"/>
      <c r="Q22" s="90"/>
      <c r="R22" s="90"/>
      <c r="S22" s="90"/>
      <c r="T22" s="90"/>
      <c r="U22" s="90"/>
      <c r="V22" s="90"/>
      <c r="W22" s="90"/>
      <c r="X22" s="90"/>
      <c r="Y22" s="91"/>
      <c r="AA22" s="26"/>
      <c r="AB22" s="26"/>
      <c r="AC22" s="26"/>
      <c r="AD22" s="26"/>
      <c r="AE22" s="26"/>
      <c r="AF22" s="26"/>
      <c r="AG22" s="26"/>
      <c r="AH22" s="26"/>
      <c r="AI22" s="26"/>
      <c r="AJ22" s="26"/>
      <c r="AK22" s="26"/>
    </row>
    <row r="23" spans="1:37" x14ac:dyDescent="0.35">
      <c r="A23" s="5" t="s">
        <v>19</v>
      </c>
      <c r="B23" s="7">
        <v>7987</v>
      </c>
      <c r="C23" s="7">
        <v>7493</v>
      </c>
      <c r="F23" t="str">
        <f>A9</f>
        <v>Cash and cash equivalents</v>
      </c>
      <c r="G23">
        <f t="shared" ref="G23:H23" si="9">B9</f>
        <v>23466</v>
      </c>
      <c r="H23">
        <f t="shared" si="9"/>
        <v>24048</v>
      </c>
      <c r="I23" t="s">
        <v>191</v>
      </c>
      <c r="O23" s="89"/>
      <c r="P23" s="90"/>
      <c r="Q23" s="90"/>
      <c r="R23" s="90"/>
      <c r="S23" s="90"/>
      <c r="T23" s="90"/>
      <c r="U23" s="90"/>
      <c r="V23" s="90"/>
      <c r="W23" s="90"/>
      <c r="X23" s="90"/>
      <c r="Y23" s="91"/>
      <c r="AA23" s="26"/>
      <c r="AB23" s="26"/>
      <c r="AC23" s="26"/>
      <c r="AD23" s="26"/>
      <c r="AE23" s="26"/>
      <c r="AF23" s="26"/>
      <c r="AG23" s="26"/>
      <c r="AH23" s="26"/>
      <c r="AI23" s="26"/>
      <c r="AJ23" s="26"/>
      <c r="AK23" s="26"/>
    </row>
    <row r="24" spans="1:37" x14ac:dyDescent="0.35">
      <c r="A24" s="5" t="s">
        <v>130</v>
      </c>
      <c r="B24" s="7">
        <v>15069</v>
      </c>
      <c r="C24" s="7">
        <v>15140</v>
      </c>
      <c r="F24" t="str">
        <f>A10</f>
        <v>Marketable securities</v>
      </c>
      <c r="G24">
        <f t="shared" ref="G24:H24" si="10">B10</f>
        <v>72191</v>
      </c>
      <c r="H24">
        <f t="shared" si="10"/>
        <v>86868</v>
      </c>
      <c r="I24" t="s">
        <v>192</v>
      </c>
      <c r="O24" s="89"/>
      <c r="P24" s="90"/>
      <c r="Q24" s="90"/>
      <c r="R24" s="90"/>
      <c r="S24" s="90"/>
      <c r="T24" s="90"/>
      <c r="U24" s="90"/>
      <c r="V24" s="90"/>
      <c r="W24" s="90"/>
      <c r="X24" s="90"/>
      <c r="Y24" s="91"/>
      <c r="AA24" s="26"/>
      <c r="AB24" s="26"/>
      <c r="AC24" s="26"/>
      <c r="AD24" s="26"/>
      <c r="AE24" s="26"/>
      <c r="AF24" s="26"/>
      <c r="AG24" s="26"/>
      <c r="AH24" s="26"/>
      <c r="AI24" s="26"/>
      <c r="AJ24" s="26"/>
      <c r="AK24" s="26"/>
    </row>
    <row r="25" spans="1:37" x14ac:dyDescent="0.35">
      <c r="A25" s="5" t="s">
        <v>131</v>
      </c>
      <c r="B25" s="7">
        <v>51228</v>
      </c>
      <c r="C25" s="7">
        <v>46168</v>
      </c>
      <c r="F25" s="19" t="str">
        <f>A33</f>
        <v>Total liabilities</v>
      </c>
      <c r="G25" s="19">
        <f t="shared" ref="G25:H25" si="11">B33</f>
        <v>125172</v>
      </c>
      <c r="H25" s="19">
        <f t="shared" si="11"/>
        <v>119013</v>
      </c>
      <c r="I25" s="19" t="s">
        <v>199</v>
      </c>
      <c r="J25" s="19"/>
      <c r="K25" s="19"/>
      <c r="L25" s="19"/>
      <c r="M25" s="19"/>
      <c r="O25" s="89"/>
      <c r="P25" s="90"/>
      <c r="Q25" s="90"/>
      <c r="R25" s="90"/>
      <c r="S25" s="90"/>
      <c r="T25" s="90"/>
      <c r="U25" s="90"/>
      <c r="V25" s="90"/>
      <c r="W25" s="90"/>
      <c r="X25" s="90"/>
      <c r="Y25" s="91"/>
      <c r="AA25" s="26"/>
      <c r="AB25" s="26"/>
      <c r="AC25" s="26"/>
      <c r="AD25" s="26"/>
      <c r="AE25" s="26"/>
      <c r="AF25" s="26"/>
      <c r="AG25" s="26"/>
      <c r="AH25" s="26"/>
      <c r="AI25" s="26"/>
      <c r="AJ25" s="26"/>
      <c r="AK25" s="26"/>
    </row>
    <row r="26" spans="1:37" x14ac:dyDescent="0.35">
      <c r="A26" s="5" t="s">
        <v>132</v>
      </c>
      <c r="B26" s="7">
        <v>9802</v>
      </c>
      <c r="C26" s="7">
        <v>8876</v>
      </c>
      <c r="J26" s="3" t="s">
        <v>50</v>
      </c>
      <c r="K26" s="3" t="s">
        <v>51</v>
      </c>
      <c r="O26" s="89"/>
      <c r="P26" s="90"/>
      <c r="Q26" s="90"/>
      <c r="R26" s="90"/>
      <c r="S26" s="90"/>
      <c r="T26" s="90"/>
      <c r="U26" s="90"/>
      <c r="V26" s="90"/>
      <c r="W26" s="90"/>
      <c r="X26" s="90"/>
      <c r="Y26" s="91"/>
      <c r="AA26" s="26"/>
      <c r="AB26" s="26"/>
      <c r="AC26" s="26"/>
      <c r="AD26" s="26"/>
      <c r="AE26" s="26"/>
      <c r="AF26" s="26"/>
      <c r="AG26" s="26"/>
      <c r="AH26" s="26"/>
      <c r="AI26" s="26"/>
      <c r="AJ26" s="26"/>
      <c r="AK26" s="26"/>
    </row>
    <row r="27" spans="1:37" x14ac:dyDescent="0.35">
      <c r="A27" s="5" t="s">
        <v>133</v>
      </c>
      <c r="B27" s="7">
        <v>5036</v>
      </c>
      <c r="C27" s="7">
        <v>4137</v>
      </c>
      <c r="F27" s="96" t="s">
        <v>201</v>
      </c>
      <c r="G27" s="96"/>
      <c r="O27" s="89"/>
      <c r="P27" s="90"/>
      <c r="Q27" s="90"/>
      <c r="R27" s="90"/>
      <c r="S27" s="90"/>
      <c r="T27" s="90"/>
      <c r="U27" s="90"/>
      <c r="V27" s="90"/>
      <c r="W27" s="90"/>
      <c r="X27" s="90"/>
      <c r="Y27" s="91"/>
      <c r="AA27" s="26"/>
      <c r="AB27" s="26"/>
      <c r="AC27" s="26"/>
      <c r="AD27" s="26"/>
      <c r="AE27" s="26"/>
      <c r="AF27" s="26"/>
      <c r="AG27" s="26"/>
      <c r="AH27" s="26"/>
      <c r="AI27" s="26"/>
      <c r="AJ27" s="26"/>
      <c r="AK27" s="26"/>
    </row>
    <row r="28" spans="1:37" x14ac:dyDescent="0.35">
      <c r="A28" s="5" t="s">
        <v>97</v>
      </c>
      <c r="B28" s="7">
        <v>89122</v>
      </c>
      <c r="C28" s="7">
        <v>81814</v>
      </c>
      <c r="E28">
        <v>5</v>
      </c>
      <c r="F28" t="s">
        <v>202</v>
      </c>
      <c r="I28" t="s">
        <v>203</v>
      </c>
      <c r="J28" s="20">
        <f>(G29*365)/G30</f>
        <v>54.580335868441054</v>
      </c>
      <c r="K28" s="20">
        <f>(H29*365)/H30</f>
        <v>56.952510458889897</v>
      </c>
      <c r="O28" s="89"/>
      <c r="P28" s="90"/>
      <c r="Q28" s="90"/>
      <c r="R28" s="90"/>
      <c r="S28" s="90"/>
      <c r="T28" s="90"/>
      <c r="U28" s="90"/>
      <c r="V28" s="90"/>
      <c r="W28" s="90"/>
      <c r="X28" s="90"/>
      <c r="Y28" s="91"/>
      <c r="AA28" s="26"/>
      <c r="AB28" s="26"/>
      <c r="AC28" s="26"/>
      <c r="AD28" s="26"/>
      <c r="AE28" s="26"/>
      <c r="AF28" s="26"/>
      <c r="AG28" s="26"/>
      <c r="AH28" s="26"/>
      <c r="AI28" s="26"/>
      <c r="AJ28" s="26"/>
      <c r="AK28" s="26"/>
    </row>
    <row r="29" spans="1:37" x14ac:dyDescent="0.35">
      <c r="A29" s="5" t="s">
        <v>134</v>
      </c>
      <c r="B29" s="7">
        <v>10883</v>
      </c>
      <c r="C29" s="7">
        <v>11870</v>
      </c>
      <c r="F29" t="str">
        <f>A12</f>
        <v>Accounts receivable, net</v>
      </c>
      <c r="G29">
        <f t="shared" ref="G29:H29" si="12">B12</f>
        <v>52340</v>
      </c>
      <c r="H29">
        <f t="shared" si="12"/>
        <v>47964</v>
      </c>
      <c r="I29" t="s">
        <v>191</v>
      </c>
      <c r="O29" s="89"/>
      <c r="P29" s="90"/>
      <c r="Q29" s="90"/>
      <c r="R29" s="90"/>
      <c r="S29" s="90"/>
      <c r="T29" s="90"/>
      <c r="U29" s="90"/>
      <c r="V29" s="90"/>
      <c r="W29" s="90"/>
      <c r="X29" s="90"/>
      <c r="Y29" s="91"/>
      <c r="AA29" s="26"/>
      <c r="AB29" s="26"/>
      <c r="AC29" s="26"/>
      <c r="AD29" s="26"/>
      <c r="AE29" s="26"/>
      <c r="AF29" s="26"/>
      <c r="AG29" s="26"/>
      <c r="AH29" s="26"/>
      <c r="AI29" s="26"/>
      <c r="AJ29" s="26"/>
      <c r="AK29" s="26"/>
    </row>
    <row r="30" spans="1:37" x14ac:dyDescent="0.35">
      <c r="A30" s="5" t="s">
        <v>135</v>
      </c>
      <c r="B30" s="7">
        <v>8782</v>
      </c>
      <c r="C30" s="7">
        <v>8474</v>
      </c>
      <c r="F30" t="str">
        <f>A47</f>
        <v>Revenues</v>
      </c>
      <c r="G30">
        <f t="shared" ref="G30:H30" si="13">B47</f>
        <v>350018</v>
      </c>
      <c r="H30">
        <f t="shared" si="13"/>
        <v>307394</v>
      </c>
      <c r="I30" t="s">
        <v>192</v>
      </c>
      <c r="O30" s="89"/>
      <c r="P30" s="90"/>
      <c r="Q30" s="90"/>
      <c r="R30" s="90"/>
      <c r="S30" s="90"/>
      <c r="T30" s="90"/>
      <c r="U30" s="90"/>
      <c r="V30" s="90"/>
      <c r="W30" s="90"/>
      <c r="X30" s="90"/>
      <c r="Y30" s="91"/>
      <c r="AA30" s="26"/>
      <c r="AB30" s="26"/>
      <c r="AC30" s="26"/>
      <c r="AD30" s="26"/>
      <c r="AE30" s="26"/>
      <c r="AF30" s="26"/>
      <c r="AG30" s="26"/>
      <c r="AH30" s="26"/>
      <c r="AI30" s="26"/>
      <c r="AJ30" s="26"/>
      <c r="AK30" s="26"/>
    </row>
    <row r="31" spans="1:37" x14ac:dyDescent="0.35">
      <c r="A31" s="5" t="s">
        <v>136</v>
      </c>
      <c r="B31" s="7">
        <v>11691</v>
      </c>
      <c r="C31" s="7">
        <v>12460</v>
      </c>
      <c r="O31" s="89"/>
      <c r="P31" s="90"/>
      <c r="Q31" s="90"/>
      <c r="R31" s="90"/>
      <c r="S31" s="90"/>
      <c r="T31" s="90"/>
      <c r="U31" s="90"/>
      <c r="V31" s="90"/>
      <c r="W31" s="90"/>
      <c r="X31" s="90"/>
      <c r="Y31" s="91"/>
      <c r="AA31" s="26"/>
      <c r="AB31" s="26"/>
      <c r="AC31" s="26"/>
      <c r="AD31" s="26"/>
      <c r="AE31" s="26"/>
      <c r="AF31" s="26"/>
      <c r="AG31" s="26"/>
      <c r="AH31" s="26"/>
      <c r="AI31" s="26"/>
      <c r="AJ31" s="26"/>
      <c r="AK31" s="26"/>
    </row>
    <row r="32" spans="1:37" ht="15" thickBot="1" x14ac:dyDescent="0.4">
      <c r="A32" s="5" t="s">
        <v>137</v>
      </c>
      <c r="B32" s="7">
        <v>4694</v>
      </c>
      <c r="C32" s="7">
        <v>4395</v>
      </c>
      <c r="E32">
        <v>6</v>
      </c>
      <c r="F32" t="s">
        <v>204</v>
      </c>
      <c r="I32" t="s">
        <v>193</v>
      </c>
      <c r="J32" s="20">
        <f>G33/G34</f>
        <v>0.77737553747201593</v>
      </c>
      <c r="K32" s="20">
        <f>H33/H34</f>
        <v>0.76391677766953614</v>
      </c>
      <c r="O32" s="92"/>
      <c r="P32" s="93"/>
      <c r="Q32" s="93"/>
      <c r="R32" s="93"/>
      <c r="S32" s="93"/>
      <c r="T32" s="93"/>
      <c r="U32" s="93"/>
      <c r="V32" s="93"/>
      <c r="W32" s="93"/>
      <c r="X32" s="93"/>
      <c r="Y32" s="94"/>
      <c r="AA32" s="26"/>
      <c r="AB32" s="26"/>
      <c r="AC32" s="26"/>
      <c r="AD32" s="26"/>
      <c r="AE32" s="26"/>
      <c r="AF32" s="26"/>
      <c r="AG32" s="26"/>
      <c r="AH32" s="26"/>
      <c r="AI32" s="26"/>
      <c r="AJ32" s="26"/>
      <c r="AK32" s="26"/>
    </row>
    <row r="33" spans="1:37" ht="15" thickBot="1" x14ac:dyDescent="0.4">
      <c r="A33" s="5" t="s">
        <v>99</v>
      </c>
      <c r="B33" s="7">
        <v>125172</v>
      </c>
      <c r="C33" s="7">
        <v>119013</v>
      </c>
      <c r="F33" t="str">
        <f>A47</f>
        <v>Revenues</v>
      </c>
      <c r="G33">
        <f t="shared" ref="G33:H33" si="14">B47</f>
        <v>350018</v>
      </c>
      <c r="H33">
        <f t="shared" si="14"/>
        <v>307394</v>
      </c>
      <c r="I33" t="s">
        <v>191</v>
      </c>
      <c r="AA33" s="26"/>
      <c r="AB33" s="26"/>
      <c r="AC33" s="26"/>
      <c r="AD33" s="26"/>
      <c r="AE33" s="26"/>
      <c r="AF33" s="26"/>
      <c r="AG33" s="26"/>
      <c r="AH33" s="26"/>
      <c r="AI33" s="26"/>
      <c r="AJ33" s="26"/>
      <c r="AK33" s="26"/>
    </row>
    <row r="34" spans="1:37" ht="14.5" customHeight="1" x14ac:dyDescent="0.35">
      <c r="A34" s="5" t="s">
        <v>138</v>
      </c>
      <c r="B34" s="5" t="s">
        <v>139</v>
      </c>
      <c r="C34" s="5" t="s">
        <v>139</v>
      </c>
      <c r="F34" s="19" t="str">
        <f>A21</f>
        <v>Total assets</v>
      </c>
      <c r="G34" s="19">
        <f t="shared" ref="G34:H34" si="15">B21</f>
        <v>450256</v>
      </c>
      <c r="H34" s="19">
        <f t="shared" si="15"/>
        <v>402392</v>
      </c>
      <c r="I34" s="19" t="s">
        <v>192</v>
      </c>
      <c r="J34" s="19"/>
      <c r="K34" s="19"/>
      <c r="L34" s="19"/>
      <c r="M34" s="19"/>
      <c r="O34" s="60" t="s">
        <v>215</v>
      </c>
      <c r="P34" s="70"/>
      <c r="Q34" s="70"/>
      <c r="R34" s="70"/>
      <c r="S34" s="70"/>
      <c r="T34" s="70"/>
      <c r="U34" s="70"/>
      <c r="V34" s="70"/>
      <c r="W34" s="70"/>
      <c r="X34" s="70"/>
      <c r="Y34" s="71"/>
      <c r="AA34" s="26"/>
      <c r="AB34" s="26"/>
      <c r="AC34" s="26"/>
      <c r="AD34" s="26"/>
      <c r="AE34" s="26"/>
      <c r="AF34" s="26"/>
      <c r="AG34" s="26"/>
      <c r="AH34" s="26"/>
      <c r="AI34" s="26"/>
      <c r="AJ34" s="26"/>
      <c r="AK34" s="26"/>
    </row>
    <row r="35" spans="1:37" ht="14.5" customHeight="1" x14ac:dyDescent="0.35">
      <c r="A35" s="4" t="s">
        <v>140</v>
      </c>
      <c r="B35" s="5" t="s">
        <v>9</v>
      </c>
      <c r="C35" s="5" t="s">
        <v>9</v>
      </c>
      <c r="O35" s="72"/>
      <c r="P35" s="73"/>
      <c r="Q35" s="73"/>
      <c r="R35" s="73"/>
      <c r="S35" s="73"/>
      <c r="T35" s="73"/>
      <c r="U35" s="73"/>
      <c r="V35" s="73"/>
      <c r="W35" s="73"/>
      <c r="X35" s="73"/>
      <c r="Y35" s="74"/>
      <c r="AA35" s="26"/>
      <c r="AB35" s="26"/>
      <c r="AC35" s="26"/>
      <c r="AD35" s="26"/>
      <c r="AE35" s="26"/>
      <c r="AF35" s="26"/>
      <c r="AG35" s="26"/>
      <c r="AH35" s="26"/>
      <c r="AI35" s="26"/>
      <c r="AJ35" s="26"/>
      <c r="AK35" s="26"/>
    </row>
    <row r="36" spans="1:37" ht="29" x14ac:dyDescent="0.35">
      <c r="A36" s="5" t="s">
        <v>141</v>
      </c>
      <c r="B36" s="7">
        <v>0</v>
      </c>
      <c r="C36" s="7">
        <v>0</v>
      </c>
      <c r="O36" s="72"/>
      <c r="P36" s="73"/>
      <c r="Q36" s="73"/>
      <c r="R36" s="73"/>
      <c r="S36" s="73"/>
      <c r="T36" s="73"/>
      <c r="U36" s="73"/>
      <c r="V36" s="73"/>
      <c r="W36" s="73"/>
      <c r="X36" s="73"/>
      <c r="Y36" s="74"/>
      <c r="AA36" s="26"/>
      <c r="AB36" s="26"/>
      <c r="AC36" s="26"/>
      <c r="AD36" s="26"/>
      <c r="AE36" s="26"/>
      <c r="AF36" s="26"/>
      <c r="AG36" s="26"/>
      <c r="AH36" s="26"/>
      <c r="AI36" s="26"/>
      <c r="AJ36" s="26"/>
      <c r="AK36" s="26"/>
    </row>
    <row r="37" spans="1:37" ht="58" customHeight="1" x14ac:dyDescent="0.35">
      <c r="A37" s="5" t="s">
        <v>142</v>
      </c>
      <c r="B37" s="7">
        <v>84800</v>
      </c>
      <c r="C37" s="7">
        <v>76534</v>
      </c>
      <c r="J37" s="3" t="s">
        <v>50</v>
      </c>
      <c r="K37" s="3" t="s">
        <v>51</v>
      </c>
      <c r="O37" s="72"/>
      <c r="P37" s="73"/>
      <c r="Q37" s="73"/>
      <c r="R37" s="73"/>
      <c r="S37" s="73"/>
      <c r="T37" s="73"/>
      <c r="U37" s="73"/>
      <c r="V37" s="73"/>
      <c r="W37" s="73"/>
      <c r="X37" s="73"/>
      <c r="Y37" s="74"/>
      <c r="AA37" s="26"/>
      <c r="AB37" s="26"/>
      <c r="AC37" s="26"/>
      <c r="AD37" s="26"/>
      <c r="AE37" s="26"/>
      <c r="AF37" s="26"/>
      <c r="AG37" s="26"/>
      <c r="AH37" s="26"/>
      <c r="AI37" s="26"/>
      <c r="AJ37" s="26"/>
      <c r="AK37" s="26"/>
    </row>
    <row r="38" spans="1:37" ht="14.5" customHeight="1" x14ac:dyDescent="0.35">
      <c r="A38" s="5" t="s">
        <v>143</v>
      </c>
      <c r="B38" s="7">
        <v>-4800</v>
      </c>
      <c r="C38" s="7">
        <v>-4402</v>
      </c>
      <c r="F38" s="96" t="s">
        <v>205</v>
      </c>
      <c r="G38" s="96"/>
      <c r="H38" s="96"/>
      <c r="O38" s="72"/>
      <c r="P38" s="73"/>
      <c r="Q38" s="73"/>
      <c r="R38" s="73"/>
      <c r="S38" s="73"/>
      <c r="T38" s="73"/>
      <c r="U38" s="73"/>
      <c r="V38" s="73"/>
      <c r="W38" s="73"/>
      <c r="X38" s="73"/>
      <c r="Y38" s="74"/>
      <c r="AA38" s="26"/>
      <c r="AB38" s="26"/>
      <c r="AC38" s="26"/>
      <c r="AD38" s="26"/>
      <c r="AE38" s="26"/>
      <c r="AF38" s="26"/>
      <c r="AG38" s="26"/>
      <c r="AH38" s="26"/>
      <c r="AI38" s="26"/>
      <c r="AJ38" s="26"/>
      <c r="AK38" s="26"/>
    </row>
    <row r="39" spans="1:37" ht="14.5" customHeight="1" x14ac:dyDescent="0.35">
      <c r="A39" s="5" t="s">
        <v>102</v>
      </c>
      <c r="B39" s="7">
        <v>245084</v>
      </c>
      <c r="C39" s="7">
        <v>211247</v>
      </c>
      <c r="E39">
        <v>7</v>
      </c>
      <c r="F39" t="s">
        <v>206</v>
      </c>
      <c r="I39" t="s">
        <v>193</v>
      </c>
      <c r="J39" s="11">
        <f>G40/G41</f>
        <v>0.27800184783767456</v>
      </c>
      <c r="K39" s="11">
        <f>H40/H41</f>
        <v>0.29576383228294795</v>
      </c>
      <c r="O39" s="72"/>
      <c r="P39" s="73"/>
      <c r="Q39" s="73"/>
      <c r="R39" s="73"/>
      <c r="S39" s="73"/>
      <c r="T39" s="73"/>
      <c r="U39" s="73"/>
      <c r="V39" s="73"/>
      <c r="W39" s="73"/>
      <c r="X39" s="73"/>
      <c r="Y39" s="74"/>
      <c r="AA39" s="26"/>
      <c r="AB39" s="26"/>
      <c r="AC39" s="26"/>
      <c r="AD39" s="26"/>
      <c r="AE39" s="26"/>
      <c r="AF39" s="26"/>
      <c r="AG39" s="26"/>
      <c r="AH39" s="26"/>
      <c r="AI39" s="26"/>
      <c r="AJ39" s="26"/>
      <c r="AK39" s="26"/>
    </row>
    <row r="40" spans="1:37" ht="14.5" customHeight="1" thickBot="1" x14ac:dyDescent="0.4">
      <c r="A40" s="5" t="s">
        <v>144</v>
      </c>
      <c r="B40" s="7">
        <v>325084</v>
      </c>
      <c r="C40" s="7">
        <v>283379</v>
      </c>
      <c r="F40" t="str">
        <f>A33</f>
        <v>Total liabilities</v>
      </c>
      <c r="G40">
        <f t="shared" ref="G40:H40" si="16">B33</f>
        <v>125172</v>
      </c>
      <c r="H40">
        <f t="shared" si="16"/>
        <v>119013</v>
      </c>
      <c r="I40" t="s">
        <v>191</v>
      </c>
      <c r="O40" s="75"/>
      <c r="P40" s="76"/>
      <c r="Q40" s="76"/>
      <c r="R40" s="76"/>
      <c r="S40" s="76"/>
      <c r="T40" s="76"/>
      <c r="U40" s="76"/>
      <c r="V40" s="76"/>
      <c r="W40" s="76"/>
      <c r="X40" s="76"/>
      <c r="Y40" s="77"/>
      <c r="AA40" s="26"/>
      <c r="AB40" s="26"/>
      <c r="AC40" s="26"/>
      <c r="AD40" s="26"/>
      <c r="AE40" s="26"/>
      <c r="AF40" s="26"/>
      <c r="AG40" s="26"/>
      <c r="AH40" s="26"/>
      <c r="AI40" s="26"/>
      <c r="AJ40" s="26"/>
      <c r="AK40" s="26"/>
    </row>
    <row r="41" spans="1:37" ht="14.5" customHeight="1" thickBot="1" x14ac:dyDescent="0.4">
      <c r="A41" s="5" t="s">
        <v>145</v>
      </c>
      <c r="B41" s="6">
        <v>450256</v>
      </c>
      <c r="C41" s="6">
        <v>402392</v>
      </c>
      <c r="F41" t="str">
        <f>A21</f>
        <v>Total assets</v>
      </c>
      <c r="G41">
        <f t="shared" ref="G41:H41" si="17">B21</f>
        <v>450256</v>
      </c>
      <c r="H41">
        <f t="shared" si="17"/>
        <v>402392</v>
      </c>
      <c r="I41" t="s">
        <v>192</v>
      </c>
      <c r="O41" s="24"/>
      <c r="P41" s="24"/>
      <c r="Q41" s="24"/>
      <c r="R41" s="24"/>
      <c r="S41" s="24"/>
      <c r="T41" s="24"/>
      <c r="U41" s="24"/>
      <c r="V41" s="24"/>
      <c r="W41" s="24"/>
      <c r="X41" s="24"/>
      <c r="Y41" s="24"/>
      <c r="AA41" s="26"/>
      <c r="AB41" s="26"/>
      <c r="AC41" s="26"/>
      <c r="AD41" s="26"/>
      <c r="AE41" s="26"/>
      <c r="AF41" s="26"/>
      <c r="AG41" s="26"/>
      <c r="AH41" s="26"/>
      <c r="AI41" s="26"/>
      <c r="AJ41" s="26"/>
      <c r="AK41" s="26"/>
    </row>
    <row r="42" spans="1:37" ht="14.5" customHeight="1" x14ac:dyDescent="0.35">
      <c r="O42" s="69" t="s">
        <v>219</v>
      </c>
      <c r="P42" s="70"/>
      <c r="Q42" s="70"/>
      <c r="R42" s="70"/>
      <c r="S42" s="70"/>
      <c r="T42" s="70"/>
      <c r="U42" s="70"/>
      <c r="V42" s="70"/>
      <c r="W42" s="70"/>
      <c r="X42" s="70"/>
      <c r="Y42" s="71"/>
      <c r="AA42" s="26"/>
      <c r="AB42" s="26"/>
      <c r="AC42" s="26"/>
      <c r="AD42" s="26"/>
      <c r="AE42" s="26"/>
      <c r="AF42" s="26"/>
      <c r="AG42" s="26"/>
      <c r="AH42" s="26"/>
      <c r="AI42" s="26"/>
      <c r="AJ42" s="26"/>
      <c r="AK42" s="26"/>
    </row>
    <row r="43" spans="1:37" ht="14.5" customHeight="1" x14ac:dyDescent="0.35">
      <c r="E43">
        <v>8</v>
      </c>
      <c r="F43" t="s">
        <v>207</v>
      </c>
      <c r="I43" t="s">
        <v>193</v>
      </c>
      <c r="J43" s="11">
        <f>G44/G45</f>
        <v>0.72199815216232544</v>
      </c>
      <c r="K43" s="11">
        <f>H44/H45</f>
        <v>0.704236167717052</v>
      </c>
      <c r="O43" s="72"/>
      <c r="P43" s="73"/>
      <c r="Q43" s="73"/>
      <c r="R43" s="73"/>
      <c r="S43" s="73"/>
      <c r="T43" s="73"/>
      <c r="U43" s="73"/>
      <c r="V43" s="73"/>
      <c r="W43" s="73"/>
      <c r="X43" s="73"/>
      <c r="Y43" s="74"/>
      <c r="AA43" s="26"/>
      <c r="AB43" s="26"/>
      <c r="AC43" s="26"/>
      <c r="AD43" s="26"/>
      <c r="AE43" s="26"/>
      <c r="AF43" s="26"/>
      <c r="AG43" s="26"/>
      <c r="AH43" s="26"/>
      <c r="AI43" s="26"/>
      <c r="AJ43" s="26"/>
      <c r="AK43" s="26"/>
    </row>
    <row r="44" spans="1:37" ht="14.5" customHeight="1" x14ac:dyDescent="0.35">
      <c r="A44" s="41" t="s">
        <v>146</v>
      </c>
      <c r="B44" s="43" t="s">
        <v>4</v>
      </c>
      <c r="C44" s="42"/>
      <c r="D44" s="42"/>
      <c r="F44" t="str">
        <f>A40</f>
        <v>Total stockholders’ equity</v>
      </c>
      <c r="G44">
        <f t="shared" ref="G44:H44" si="18">B40</f>
        <v>325084</v>
      </c>
      <c r="H44">
        <f t="shared" si="18"/>
        <v>283379</v>
      </c>
      <c r="I44" t="s">
        <v>191</v>
      </c>
      <c r="O44" s="72"/>
      <c r="P44" s="73"/>
      <c r="Q44" s="73"/>
      <c r="R44" s="73"/>
      <c r="S44" s="73"/>
      <c r="T44" s="73"/>
      <c r="U44" s="73"/>
      <c r="V44" s="73"/>
      <c r="W44" s="73"/>
      <c r="X44" s="73"/>
      <c r="Y44" s="74"/>
      <c r="AA44" s="26"/>
      <c r="AB44" s="26"/>
      <c r="AC44" s="26"/>
      <c r="AD44" s="26"/>
      <c r="AE44" s="26"/>
      <c r="AF44" s="26"/>
      <c r="AG44" s="26"/>
      <c r="AH44" s="26"/>
      <c r="AI44" s="26"/>
      <c r="AJ44" s="26"/>
      <c r="AK44" s="26"/>
    </row>
    <row r="45" spans="1:37" ht="14.5" customHeight="1" x14ac:dyDescent="0.35">
      <c r="A45" s="42"/>
      <c r="B45" s="3" t="s">
        <v>50</v>
      </c>
      <c r="C45" s="3" t="s">
        <v>51</v>
      </c>
      <c r="D45" s="3" t="s">
        <v>52</v>
      </c>
      <c r="F45" s="19" t="str">
        <f>A21</f>
        <v>Total assets</v>
      </c>
      <c r="G45" s="19">
        <f t="shared" ref="G45:H45" si="19">B21</f>
        <v>450256</v>
      </c>
      <c r="H45" s="19">
        <f t="shared" si="19"/>
        <v>402392</v>
      </c>
      <c r="I45" s="19" t="s">
        <v>192</v>
      </c>
      <c r="J45" s="19"/>
      <c r="K45" s="19"/>
      <c r="L45" s="19"/>
      <c r="M45" s="19"/>
      <c r="O45" s="72"/>
      <c r="P45" s="73"/>
      <c r="Q45" s="73"/>
      <c r="R45" s="73"/>
      <c r="S45" s="73"/>
      <c r="T45" s="73"/>
      <c r="U45" s="73"/>
      <c r="V45" s="73"/>
      <c r="W45" s="73"/>
      <c r="X45" s="73"/>
      <c r="Y45" s="74"/>
      <c r="AA45" s="26"/>
      <c r="AB45" s="26"/>
      <c r="AC45" s="26"/>
      <c r="AD45" s="26"/>
      <c r="AE45" s="26"/>
      <c r="AF45" s="26"/>
      <c r="AG45" s="26"/>
      <c r="AH45" s="26"/>
      <c r="AI45" s="26"/>
      <c r="AJ45" s="26"/>
      <c r="AK45" s="26"/>
    </row>
    <row r="46" spans="1:37" x14ac:dyDescent="0.35">
      <c r="A46" s="4" t="s">
        <v>147</v>
      </c>
      <c r="B46" s="5" t="s">
        <v>9</v>
      </c>
      <c r="C46" s="5" t="s">
        <v>9</v>
      </c>
      <c r="D46" s="5" t="s">
        <v>9</v>
      </c>
      <c r="J46" s="3" t="s">
        <v>50</v>
      </c>
      <c r="K46" s="3" t="s">
        <v>51</v>
      </c>
      <c r="O46" s="72"/>
      <c r="P46" s="73"/>
      <c r="Q46" s="73"/>
      <c r="R46" s="73"/>
      <c r="S46" s="73"/>
      <c r="T46" s="73"/>
      <c r="U46" s="73"/>
      <c r="V46" s="73"/>
      <c r="W46" s="73"/>
      <c r="X46" s="73"/>
      <c r="Y46" s="74"/>
      <c r="AA46" s="26"/>
      <c r="AB46" s="26"/>
      <c r="AC46" s="26"/>
      <c r="AD46" s="26"/>
      <c r="AE46" s="26"/>
      <c r="AF46" s="26"/>
      <c r="AG46" s="26"/>
      <c r="AH46" s="26"/>
      <c r="AI46" s="26"/>
      <c r="AJ46" s="26"/>
      <c r="AK46" s="26"/>
    </row>
    <row r="47" spans="1:37" x14ac:dyDescent="0.35">
      <c r="A47" s="5" t="s">
        <v>53</v>
      </c>
      <c r="B47" s="6">
        <v>350018</v>
      </c>
      <c r="C47" s="6">
        <v>307394</v>
      </c>
      <c r="D47" s="6">
        <v>282836</v>
      </c>
      <c r="F47" s="96" t="s">
        <v>208</v>
      </c>
      <c r="G47" s="96"/>
      <c r="O47" s="72"/>
      <c r="P47" s="73"/>
      <c r="Q47" s="73"/>
      <c r="R47" s="73"/>
      <c r="S47" s="73"/>
      <c r="T47" s="73"/>
      <c r="U47" s="73"/>
      <c r="V47" s="73"/>
      <c r="W47" s="73"/>
      <c r="X47" s="73"/>
      <c r="Y47" s="74"/>
      <c r="AA47" s="26"/>
      <c r="AB47" s="26"/>
      <c r="AC47" s="26"/>
      <c r="AD47" s="26"/>
      <c r="AE47" s="26"/>
      <c r="AF47" s="26"/>
      <c r="AG47" s="26"/>
      <c r="AH47" s="26"/>
      <c r="AI47" s="26"/>
      <c r="AJ47" s="26"/>
      <c r="AK47" s="26"/>
    </row>
    <row r="48" spans="1:37" ht="15" customHeight="1" x14ac:dyDescent="0.35">
      <c r="A48" s="4" t="s">
        <v>148</v>
      </c>
      <c r="B48" s="5" t="s">
        <v>9</v>
      </c>
      <c r="C48" s="5" t="s">
        <v>9</v>
      </c>
      <c r="D48" s="5" t="s">
        <v>9</v>
      </c>
      <c r="E48">
        <v>9</v>
      </c>
      <c r="F48" s="97" t="s">
        <v>209</v>
      </c>
      <c r="G48" s="97"/>
      <c r="I48" t="s">
        <v>193</v>
      </c>
      <c r="J48" s="11">
        <f>G49/G50</f>
        <v>0.30797578472025694</v>
      </c>
      <c r="K48" s="11">
        <f>H49/H50</f>
        <v>0.26041096905557576</v>
      </c>
      <c r="O48" s="72"/>
      <c r="P48" s="73"/>
      <c r="Q48" s="73"/>
      <c r="R48" s="73"/>
      <c r="S48" s="73"/>
      <c r="T48" s="73"/>
      <c r="U48" s="73"/>
      <c r="V48" s="73"/>
      <c r="W48" s="73"/>
      <c r="X48" s="73"/>
      <c r="Y48" s="74"/>
      <c r="AA48" s="26"/>
      <c r="AB48" s="26"/>
      <c r="AC48" s="26"/>
      <c r="AD48" s="26"/>
      <c r="AE48" s="26"/>
      <c r="AF48" s="26"/>
      <c r="AG48" s="26"/>
      <c r="AH48" s="26"/>
      <c r="AI48" s="26"/>
      <c r="AJ48" s="26"/>
      <c r="AK48" s="26"/>
    </row>
    <row r="49" spans="1:37" x14ac:dyDescent="0.35">
      <c r="A49" s="5" t="s">
        <v>149</v>
      </c>
      <c r="B49" s="7">
        <v>146306</v>
      </c>
      <c r="C49" s="7">
        <v>133332</v>
      </c>
      <c r="D49" s="7">
        <v>126203</v>
      </c>
      <c r="F49" t="str">
        <f>A59</f>
        <v>Net income</v>
      </c>
      <c r="G49">
        <f t="shared" ref="G49:H49" si="20">B59</f>
        <v>100118</v>
      </c>
      <c r="H49">
        <f t="shared" si="20"/>
        <v>73795</v>
      </c>
      <c r="I49" t="s">
        <v>191</v>
      </c>
      <c r="O49" s="72"/>
      <c r="P49" s="73"/>
      <c r="Q49" s="73"/>
      <c r="R49" s="73"/>
      <c r="S49" s="73"/>
      <c r="T49" s="73"/>
      <c r="U49" s="73"/>
      <c r="V49" s="73"/>
      <c r="W49" s="73"/>
      <c r="X49" s="73"/>
      <c r="Y49" s="74"/>
      <c r="AA49" s="26"/>
      <c r="AB49" s="26"/>
      <c r="AC49" s="26"/>
      <c r="AD49" s="26"/>
      <c r="AE49" s="26"/>
      <c r="AF49" s="26"/>
      <c r="AG49" s="26"/>
      <c r="AH49" s="26"/>
      <c r="AI49" s="26"/>
      <c r="AJ49" s="26"/>
      <c r="AK49" s="26"/>
    </row>
    <row r="50" spans="1:37" x14ac:dyDescent="0.35">
      <c r="A50" s="18" t="s">
        <v>190</v>
      </c>
      <c r="B50" s="7">
        <f>B47-B49</f>
        <v>203712</v>
      </c>
      <c r="C50" s="7">
        <f t="shared" ref="C50:D50" si="21">C47-C49</f>
        <v>174062</v>
      </c>
      <c r="D50" s="7">
        <f t="shared" si="21"/>
        <v>156633</v>
      </c>
      <c r="F50" s="21" t="str">
        <f>A40</f>
        <v>Total stockholders’ equity</v>
      </c>
      <c r="G50" s="21">
        <f t="shared" ref="G50:H50" si="22">B40</f>
        <v>325084</v>
      </c>
      <c r="H50" s="21">
        <f t="shared" si="22"/>
        <v>283379</v>
      </c>
      <c r="I50" t="s">
        <v>192</v>
      </c>
      <c r="O50" s="72"/>
      <c r="P50" s="73"/>
      <c r="Q50" s="73"/>
      <c r="R50" s="73"/>
      <c r="S50" s="73"/>
      <c r="T50" s="73"/>
      <c r="U50" s="73"/>
      <c r="V50" s="73"/>
      <c r="W50" s="73"/>
      <c r="X50" s="73"/>
      <c r="Y50" s="74"/>
      <c r="AA50" s="26"/>
      <c r="AB50" s="26"/>
      <c r="AC50" s="26"/>
      <c r="AD50" s="26"/>
      <c r="AE50" s="26"/>
      <c r="AF50" s="26"/>
      <c r="AG50" s="26"/>
      <c r="AH50" s="26"/>
      <c r="AI50" s="26"/>
      <c r="AJ50" s="26"/>
      <c r="AK50" s="26"/>
    </row>
    <row r="51" spans="1:37" x14ac:dyDescent="0.35">
      <c r="A51" s="5" t="s">
        <v>150</v>
      </c>
      <c r="B51" s="7">
        <v>49326</v>
      </c>
      <c r="C51" s="7">
        <v>45427</v>
      </c>
      <c r="D51" s="7">
        <v>39500</v>
      </c>
      <c r="O51" s="72"/>
      <c r="P51" s="73"/>
      <c r="Q51" s="73"/>
      <c r="R51" s="73"/>
      <c r="S51" s="73"/>
      <c r="T51" s="73"/>
      <c r="U51" s="73"/>
      <c r="V51" s="73"/>
      <c r="W51" s="73"/>
      <c r="X51" s="73"/>
      <c r="Y51" s="74"/>
      <c r="AA51" s="26"/>
      <c r="AB51" s="26"/>
      <c r="AC51" s="26"/>
      <c r="AD51" s="26"/>
      <c r="AE51" s="26"/>
      <c r="AF51" s="26"/>
      <c r="AG51" s="26"/>
      <c r="AH51" s="26"/>
      <c r="AI51" s="26"/>
      <c r="AJ51" s="26"/>
      <c r="AK51" s="26"/>
    </row>
    <row r="52" spans="1:37" ht="15" thickBot="1" x14ac:dyDescent="0.4">
      <c r="A52" s="5" t="s">
        <v>151</v>
      </c>
      <c r="B52" s="7">
        <v>27808</v>
      </c>
      <c r="C52" s="7">
        <v>27917</v>
      </c>
      <c r="D52" s="7">
        <v>26567</v>
      </c>
      <c r="E52" s="7">
        <v>10</v>
      </c>
      <c r="F52" s="97" t="s">
        <v>210</v>
      </c>
      <c r="G52" s="97"/>
      <c r="I52" t="s">
        <v>193</v>
      </c>
      <c r="J52" s="11">
        <f>G53/G54</f>
        <v>0.26610417184890373</v>
      </c>
      <c r="K52" s="11">
        <f>H53/H54</f>
        <v>0.21301864848207719</v>
      </c>
      <c r="O52" s="75"/>
      <c r="P52" s="76"/>
      <c r="Q52" s="76"/>
      <c r="R52" s="76"/>
      <c r="S52" s="76"/>
      <c r="T52" s="76"/>
      <c r="U52" s="76"/>
      <c r="V52" s="76"/>
      <c r="W52" s="76"/>
      <c r="X52" s="76"/>
      <c r="Y52" s="77"/>
      <c r="AA52" s="26"/>
      <c r="AB52" s="26"/>
      <c r="AC52" s="26"/>
      <c r="AD52" s="26"/>
      <c r="AE52" s="26"/>
      <c r="AF52" s="26"/>
      <c r="AG52" s="26"/>
      <c r="AH52" s="26"/>
      <c r="AI52" s="26"/>
      <c r="AJ52" s="26"/>
      <c r="AK52" s="26"/>
    </row>
    <row r="53" spans="1:37" ht="15" thickBot="1" x14ac:dyDescent="0.4">
      <c r="A53" s="5" t="s">
        <v>152</v>
      </c>
      <c r="B53" s="7">
        <v>14188</v>
      </c>
      <c r="C53" s="7">
        <v>16425</v>
      </c>
      <c r="D53" s="7">
        <v>15724</v>
      </c>
      <c r="F53" t="str">
        <f>A57</f>
        <v>Income before income taxes</v>
      </c>
      <c r="G53">
        <f t="shared" ref="G53:H53" si="23">B57</f>
        <v>119815</v>
      </c>
      <c r="H53">
        <f t="shared" si="23"/>
        <v>85717</v>
      </c>
      <c r="I53" t="s">
        <v>191</v>
      </c>
      <c r="AA53" s="26"/>
      <c r="AB53" s="26"/>
      <c r="AC53" s="26"/>
      <c r="AD53" s="26"/>
      <c r="AE53" s="26"/>
      <c r="AF53" s="26"/>
      <c r="AG53" s="26"/>
      <c r="AH53" s="26"/>
      <c r="AI53" s="26"/>
      <c r="AJ53" s="26"/>
      <c r="AK53" s="26"/>
    </row>
    <row r="54" spans="1:37" x14ac:dyDescent="0.35">
      <c r="A54" s="5" t="s">
        <v>58</v>
      </c>
      <c r="B54" s="7">
        <v>237628</v>
      </c>
      <c r="C54" s="7">
        <v>223101</v>
      </c>
      <c r="D54" s="7">
        <v>207994</v>
      </c>
      <c r="F54" s="19" t="str">
        <f>A21</f>
        <v>Total assets</v>
      </c>
      <c r="G54" s="19">
        <f t="shared" ref="G54:H54" si="24">B21</f>
        <v>450256</v>
      </c>
      <c r="H54" s="19">
        <f t="shared" si="24"/>
        <v>402392</v>
      </c>
      <c r="I54" s="19" t="s">
        <v>192</v>
      </c>
      <c r="J54" s="19"/>
      <c r="K54" s="19"/>
      <c r="L54" s="19"/>
      <c r="M54" s="19"/>
      <c r="O54" s="60" t="s">
        <v>216</v>
      </c>
      <c r="P54" s="61"/>
      <c r="Q54" s="61"/>
      <c r="R54" s="61"/>
      <c r="S54" s="61"/>
      <c r="T54" s="61"/>
      <c r="U54" s="61"/>
      <c r="V54" s="61"/>
      <c r="W54" s="61"/>
      <c r="X54" s="61"/>
      <c r="Y54" s="62"/>
      <c r="AA54" s="26"/>
      <c r="AB54" s="26"/>
      <c r="AC54" s="26"/>
      <c r="AD54" s="26"/>
      <c r="AE54" s="26"/>
      <c r="AF54" s="26"/>
      <c r="AG54" s="26"/>
      <c r="AH54" s="26"/>
      <c r="AI54" s="26"/>
      <c r="AJ54" s="26"/>
      <c r="AK54" s="26"/>
    </row>
    <row r="55" spans="1:37" x14ac:dyDescent="0.35">
      <c r="A55" s="5" t="s">
        <v>153</v>
      </c>
      <c r="B55" s="7">
        <v>112390</v>
      </c>
      <c r="C55" s="7">
        <v>84293</v>
      </c>
      <c r="D55" s="7">
        <v>74842</v>
      </c>
      <c r="K55" s="3" t="s">
        <v>50</v>
      </c>
      <c r="L55" s="3" t="s">
        <v>51</v>
      </c>
      <c r="M55" s="3" t="s">
        <v>52</v>
      </c>
      <c r="O55" s="63"/>
      <c r="P55" s="64"/>
      <c r="Q55" s="64"/>
      <c r="R55" s="64"/>
      <c r="S55" s="64"/>
      <c r="T55" s="64"/>
      <c r="U55" s="64"/>
      <c r="V55" s="64"/>
      <c r="W55" s="64"/>
      <c r="X55" s="64"/>
      <c r="Y55" s="65"/>
      <c r="AA55" s="26"/>
      <c r="AB55" s="26"/>
      <c r="AC55" s="26"/>
      <c r="AD55" s="26"/>
      <c r="AE55" s="26"/>
      <c r="AF55" s="26"/>
      <c r="AG55" s="26"/>
      <c r="AH55" s="26"/>
      <c r="AI55" s="26"/>
      <c r="AJ55" s="26"/>
      <c r="AK55" s="26"/>
    </row>
    <row r="56" spans="1:37" x14ac:dyDescent="0.35">
      <c r="A56" s="5" t="s">
        <v>154</v>
      </c>
      <c r="B56" s="7">
        <v>7425</v>
      </c>
      <c r="C56" s="7">
        <v>1424</v>
      </c>
      <c r="D56" s="7">
        <v>-3514</v>
      </c>
      <c r="F56" s="96" t="s">
        <v>211</v>
      </c>
      <c r="G56" s="96"/>
      <c r="O56" s="63"/>
      <c r="P56" s="64"/>
      <c r="Q56" s="64"/>
      <c r="R56" s="64"/>
      <c r="S56" s="64"/>
      <c r="T56" s="64"/>
      <c r="U56" s="64"/>
      <c r="V56" s="64"/>
      <c r="W56" s="64"/>
      <c r="X56" s="64"/>
      <c r="Y56" s="65"/>
      <c r="AA56" s="26"/>
      <c r="AB56" s="26"/>
      <c r="AC56" s="26"/>
      <c r="AD56" s="26"/>
      <c r="AE56" s="26"/>
      <c r="AF56" s="26"/>
      <c r="AG56" s="26"/>
      <c r="AH56" s="26"/>
      <c r="AI56" s="26"/>
      <c r="AJ56" s="26"/>
      <c r="AK56" s="26"/>
    </row>
    <row r="57" spans="1:37" x14ac:dyDescent="0.35">
      <c r="A57" s="5" t="s">
        <v>155</v>
      </c>
      <c r="B57" s="7">
        <v>119815</v>
      </c>
      <c r="C57" s="7">
        <v>85717</v>
      </c>
      <c r="D57" s="7">
        <v>71328</v>
      </c>
      <c r="E57" s="7">
        <v>11</v>
      </c>
      <c r="F57" t="s">
        <v>212</v>
      </c>
      <c r="J57" t="s">
        <v>193</v>
      </c>
      <c r="K57" s="11">
        <f>G58/G59</f>
        <v>0.35797873252232743</v>
      </c>
      <c r="L57" s="11">
        <f t="shared" ref="L57" si="25">H58/H59</f>
        <v>0.33099540004033912</v>
      </c>
      <c r="M57" s="11">
        <f t="shared" ref="M57" si="26">I58/I59</f>
        <v>0.32349135187882733</v>
      </c>
      <c r="O57" s="63"/>
      <c r="P57" s="64"/>
      <c r="Q57" s="64"/>
      <c r="R57" s="64"/>
      <c r="S57" s="64"/>
      <c r="T57" s="64"/>
      <c r="U57" s="64"/>
      <c r="V57" s="64"/>
      <c r="W57" s="64"/>
      <c r="X57" s="64"/>
      <c r="Y57" s="65"/>
      <c r="AA57" s="26"/>
      <c r="AB57" s="26"/>
      <c r="AC57" s="26"/>
      <c r="AD57" s="26"/>
      <c r="AE57" s="26"/>
      <c r="AF57" s="26"/>
      <c r="AG57" s="26"/>
      <c r="AH57" s="26"/>
      <c r="AI57" s="26"/>
      <c r="AJ57" s="26"/>
      <c r="AK57" s="26"/>
    </row>
    <row r="58" spans="1:37" ht="27" customHeight="1" x14ac:dyDescent="0.35">
      <c r="A58" s="5" t="s">
        <v>156</v>
      </c>
      <c r="B58" s="7">
        <v>19697</v>
      </c>
      <c r="C58" s="7">
        <v>11922</v>
      </c>
      <c r="D58" s="7">
        <v>11356</v>
      </c>
      <c r="F58" s="23" t="str">
        <f>A82</f>
        <v>Net cash provided by operating activities</v>
      </c>
      <c r="G58" s="23">
        <f t="shared" ref="G58:I58" si="27">B82</f>
        <v>125299</v>
      </c>
      <c r="H58" s="23">
        <f t="shared" si="27"/>
        <v>101746</v>
      </c>
      <c r="I58" s="23">
        <f t="shared" si="27"/>
        <v>91495</v>
      </c>
      <c r="J58" t="s">
        <v>191</v>
      </c>
      <c r="O58" s="63"/>
      <c r="P58" s="64"/>
      <c r="Q58" s="64"/>
      <c r="R58" s="64"/>
      <c r="S58" s="64"/>
      <c r="T58" s="64"/>
      <c r="U58" s="64"/>
      <c r="V58" s="64"/>
      <c r="W58" s="64"/>
      <c r="X58" s="64"/>
      <c r="Y58" s="65"/>
      <c r="AA58" s="26"/>
      <c r="AB58" s="26"/>
      <c r="AC58" s="26"/>
      <c r="AD58" s="26"/>
      <c r="AE58" s="26"/>
      <c r="AF58" s="26"/>
      <c r="AG58" s="26"/>
      <c r="AH58" s="26"/>
      <c r="AI58" s="26"/>
      <c r="AJ58" s="26"/>
      <c r="AK58" s="26"/>
    </row>
    <row r="59" spans="1:37" x14ac:dyDescent="0.35">
      <c r="A59" s="5" t="s">
        <v>157</v>
      </c>
      <c r="B59" s="6">
        <v>100118</v>
      </c>
      <c r="C59" s="6">
        <v>73795</v>
      </c>
      <c r="D59" s="6">
        <v>59972</v>
      </c>
      <c r="F59" t="str">
        <f>A47</f>
        <v>Revenues</v>
      </c>
      <c r="G59">
        <f t="shared" ref="G59:I59" si="28">B47</f>
        <v>350018</v>
      </c>
      <c r="H59">
        <f t="shared" si="28"/>
        <v>307394</v>
      </c>
      <c r="I59">
        <f t="shared" si="28"/>
        <v>282836</v>
      </c>
      <c r="J59" t="s">
        <v>192</v>
      </c>
      <c r="O59" s="63"/>
      <c r="P59" s="64"/>
      <c r="Q59" s="64"/>
      <c r="R59" s="64"/>
      <c r="S59" s="64"/>
      <c r="T59" s="64"/>
      <c r="U59" s="64"/>
      <c r="V59" s="64"/>
      <c r="W59" s="64"/>
      <c r="X59" s="64"/>
      <c r="Y59" s="65"/>
      <c r="AA59" s="26"/>
      <c r="AB59" s="26"/>
      <c r="AC59" s="26"/>
      <c r="AD59" s="26"/>
      <c r="AE59" s="26"/>
      <c r="AF59" s="26"/>
      <c r="AG59" s="26"/>
      <c r="AH59" s="26"/>
      <c r="AI59" s="26"/>
      <c r="AJ59" s="26"/>
      <c r="AK59" s="26"/>
    </row>
    <row r="60" spans="1:37" x14ac:dyDescent="0.35">
      <c r="A60" s="5" t="s">
        <v>158</v>
      </c>
      <c r="B60" s="9">
        <v>8.1300000000000008</v>
      </c>
      <c r="C60" s="9">
        <v>5.84</v>
      </c>
      <c r="D60" s="9">
        <v>4.59</v>
      </c>
      <c r="O60" s="63"/>
      <c r="P60" s="64"/>
      <c r="Q60" s="64"/>
      <c r="R60" s="64"/>
      <c r="S60" s="64"/>
      <c r="T60" s="64"/>
      <c r="U60" s="64"/>
      <c r="V60" s="64"/>
      <c r="W60" s="64"/>
      <c r="X60" s="64"/>
      <c r="Y60" s="65"/>
      <c r="AA60" s="26"/>
      <c r="AB60" s="26"/>
      <c r="AC60" s="26"/>
      <c r="AD60" s="26"/>
      <c r="AE60" s="26"/>
      <c r="AF60" s="26"/>
      <c r="AG60" s="26"/>
      <c r="AH60" s="26"/>
      <c r="AI60" s="26"/>
      <c r="AJ60" s="26"/>
      <c r="AK60" s="26"/>
    </row>
    <row r="61" spans="1:37" x14ac:dyDescent="0.35">
      <c r="A61" s="5" t="s">
        <v>159</v>
      </c>
      <c r="B61" s="9">
        <v>8.0399999999999991</v>
      </c>
      <c r="C61" s="9">
        <v>5.8</v>
      </c>
      <c r="D61" s="9">
        <v>4.5599999999999996</v>
      </c>
      <c r="E61" s="22">
        <v>12</v>
      </c>
      <c r="F61" t="s">
        <v>213</v>
      </c>
      <c r="J61" t="s">
        <v>193</v>
      </c>
      <c r="K61" s="11">
        <f>G62/G63</f>
        <v>1.2515132144069998</v>
      </c>
      <c r="L61" s="11">
        <f t="shared" ref="L61" si="29">H62/H63</f>
        <v>1.3787654990175486</v>
      </c>
      <c r="M61" s="11">
        <f t="shared" ref="M61" si="30">I62/I63</f>
        <v>1.5256286266924566</v>
      </c>
      <c r="O61" s="63"/>
      <c r="P61" s="64"/>
      <c r="Q61" s="64"/>
      <c r="R61" s="64"/>
      <c r="S61" s="64"/>
      <c r="T61" s="64"/>
      <c r="U61" s="64"/>
      <c r="V61" s="64"/>
      <c r="W61" s="64"/>
      <c r="X61" s="64"/>
      <c r="Y61" s="65"/>
      <c r="AA61" s="26"/>
      <c r="AB61" s="26"/>
      <c r="AC61" s="26"/>
      <c r="AD61" s="26"/>
      <c r="AE61" s="26"/>
      <c r="AF61" s="26"/>
      <c r="AG61" s="26"/>
      <c r="AH61" s="26"/>
      <c r="AI61" s="26"/>
      <c r="AJ61" s="26"/>
      <c r="AK61" s="26"/>
    </row>
    <row r="62" spans="1:37" ht="29.5" thickBot="1" x14ac:dyDescent="0.4">
      <c r="F62" s="23" t="str">
        <f>A82</f>
        <v>Net cash provided by operating activities</v>
      </c>
      <c r="G62" s="23">
        <f t="shared" ref="G62:I62" si="31">B82</f>
        <v>125299</v>
      </c>
      <c r="H62" s="23">
        <f t="shared" si="31"/>
        <v>101746</v>
      </c>
      <c r="I62" s="23">
        <f t="shared" si="31"/>
        <v>91495</v>
      </c>
      <c r="J62" t="s">
        <v>191</v>
      </c>
      <c r="O62" s="66"/>
      <c r="P62" s="67"/>
      <c r="Q62" s="67"/>
      <c r="R62" s="67"/>
      <c r="S62" s="67"/>
      <c r="T62" s="67"/>
      <c r="U62" s="67"/>
      <c r="V62" s="67"/>
      <c r="W62" s="67"/>
      <c r="X62" s="67"/>
      <c r="Y62" s="68"/>
      <c r="AA62" s="26"/>
      <c r="AB62" s="26"/>
      <c r="AC62" s="26"/>
      <c r="AD62" s="26"/>
      <c r="AE62" s="26"/>
      <c r="AF62" s="26"/>
      <c r="AG62" s="26"/>
      <c r="AH62" s="26"/>
      <c r="AI62" s="26"/>
      <c r="AJ62" s="26"/>
      <c r="AK62" s="26"/>
    </row>
    <row r="63" spans="1:37" ht="15" thickBot="1" x14ac:dyDescent="0.4">
      <c r="F63" t="str">
        <f>A59</f>
        <v>Net income</v>
      </c>
      <c r="G63">
        <f t="shared" ref="G63:I63" si="32">B59</f>
        <v>100118</v>
      </c>
      <c r="H63">
        <f t="shared" si="32"/>
        <v>73795</v>
      </c>
      <c r="I63">
        <f t="shared" si="32"/>
        <v>59972</v>
      </c>
      <c r="J63" t="s">
        <v>192</v>
      </c>
      <c r="AA63" s="26"/>
      <c r="AB63" s="26"/>
      <c r="AC63" s="26"/>
      <c r="AD63" s="26"/>
      <c r="AE63" s="26"/>
      <c r="AF63" s="26"/>
      <c r="AG63" s="26"/>
      <c r="AH63" s="26"/>
      <c r="AI63" s="26"/>
      <c r="AJ63" s="26"/>
      <c r="AK63" s="26"/>
    </row>
    <row r="64" spans="1:37" ht="14.5" customHeight="1" x14ac:dyDescent="0.35">
      <c r="A64" s="41" t="s">
        <v>160</v>
      </c>
      <c r="B64" s="43" t="s">
        <v>4</v>
      </c>
      <c r="C64" s="42"/>
      <c r="D64" s="42"/>
      <c r="O64" s="69" t="s">
        <v>220</v>
      </c>
      <c r="P64" s="70"/>
      <c r="Q64" s="70"/>
      <c r="R64" s="70"/>
      <c r="S64" s="70"/>
      <c r="T64" s="70"/>
      <c r="U64" s="70"/>
      <c r="V64" s="70"/>
      <c r="W64" s="70"/>
      <c r="X64" s="70"/>
      <c r="Y64" s="71"/>
      <c r="AA64" s="26"/>
      <c r="AB64" s="26"/>
      <c r="AC64" s="26"/>
      <c r="AD64" s="26"/>
      <c r="AE64" s="26"/>
      <c r="AF64" s="26"/>
      <c r="AG64" s="26"/>
      <c r="AH64" s="26"/>
      <c r="AI64" s="26"/>
      <c r="AJ64" s="26"/>
      <c r="AK64" s="26"/>
    </row>
    <row r="65" spans="1:37" ht="14.5" customHeight="1" x14ac:dyDescent="0.35">
      <c r="A65" s="42"/>
      <c r="B65" s="3" t="s">
        <v>50</v>
      </c>
      <c r="C65" s="3" t="s">
        <v>51</v>
      </c>
      <c r="D65" s="3" t="s">
        <v>52</v>
      </c>
      <c r="O65" s="72"/>
      <c r="P65" s="73"/>
      <c r="Q65" s="73"/>
      <c r="R65" s="73"/>
      <c r="S65" s="73"/>
      <c r="T65" s="73"/>
      <c r="U65" s="73"/>
      <c r="V65" s="73"/>
      <c r="W65" s="73"/>
      <c r="X65" s="73"/>
      <c r="Y65" s="74"/>
      <c r="AA65" s="26"/>
      <c r="AB65" s="26"/>
      <c r="AC65" s="26"/>
      <c r="AD65" s="26"/>
      <c r="AE65" s="26"/>
      <c r="AF65" s="26"/>
      <c r="AG65" s="26"/>
      <c r="AH65" s="26"/>
      <c r="AI65" s="26"/>
      <c r="AJ65" s="26"/>
      <c r="AK65" s="26"/>
    </row>
    <row r="66" spans="1:37" ht="14.5" customHeight="1" x14ac:dyDescent="0.35">
      <c r="A66" s="4" t="s">
        <v>161</v>
      </c>
      <c r="B66" s="5" t="s">
        <v>9</v>
      </c>
      <c r="C66" s="5" t="s">
        <v>9</v>
      </c>
      <c r="D66" s="5" t="s">
        <v>9</v>
      </c>
      <c r="O66" s="72"/>
      <c r="P66" s="73"/>
      <c r="Q66" s="73"/>
      <c r="R66" s="73"/>
      <c r="S66" s="73"/>
      <c r="T66" s="73"/>
      <c r="U66" s="73"/>
      <c r="V66" s="73"/>
      <c r="W66" s="73"/>
      <c r="X66" s="73"/>
      <c r="Y66" s="74"/>
      <c r="AA66" s="26"/>
      <c r="AB66" s="26"/>
      <c r="AC66" s="26"/>
      <c r="AD66" s="26"/>
      <c r="AE66" s="26"/>
      <c r="AF66" s="26"/>
      <c r="AG66" s="26"/>
      <c r="AH66" s="26"/>
      <c r="AI66" s="26"/>
      <c r="AJ66" s="26"/>
      <c r="AK66" s="26"/>
    </row>
    <row r="67" spans="1:37" ht="14.5" customHeight="1" x14ac:dyDescent="0.35">
      <c r="A67" s="5" t="s">
        <v>157</v>
      </c>
      <c r="B67" s="6">
        <v>100118</v>
      </c>
      <c r="C67" s="6">
        <v>73795</v>
      </c>
      <c r="D67" s="6">
        <v>59972</v>
      </c>
      <c r="O67" s="72"/>
      <c r="P67" s="73"/>
      <c r="Q67" s="73"/>
      <c r="R67" s="73"/>
      <c r="S67" s="73"/>
      <c r="T67" s="73"/>
      <c r="U67" s="73"/>
      <c r="V67" s="73"/>
      <c r="W67" s="73"/>
      <c r="X67" s="73"/>
      <c r="Y67" s="74"/>
      <c r="AA67" s="26"/>
      <c r="AB67" s="26"/>
      <c r="AC67" s="26"/>
      <c r="AD67" s="26"/>
      <c r="AE67" s="26"/>
      <c r="AF67" s="26"/>
      <c r="AG67" s="26"/>
      <c r="AH67" s="26"/>
      <c r="AI67" s="26"/>
      <c r="AJ67" s="26"/>
      <c r="AK67" s="26"/>
    </row>
    <row r="68" spans="1:37" ht="14.5" customHeight="1" x14ac:dyDescent="0.35">
      <c r="A68" s="4" t="s">
        <v>162</v>
      </c>
      <c r="B68" s="5" t="s">
        <v>9</v>
      </c>
      <c r="C68" s="5" t="s">
        <v>9</v>
      </c>
      <c r="D68" s="5" t="s">
        <v>9</v>
      </c>
      <c r="O68" s="72"/>
      <c r="P68" s="73"/>
      <c r="Q68" s="73"/>
      <c r="R68" s="73"/>
      <c r="S68" s="73"/>
      <c r="T68" s="73"/>
      <c r="U68" s="73"/>
      <c r="V68" s="73"/>
      <c r="W68" s="73"/>
      <c r="X68" s="73"/>
      <c r="Y68" s="74"/>
      <c r="AA68" s="26"/>
      <c r="AB68" s="26"/>
      <c r="AC68" s="26"/>
      <c r="AD68" s="26"/>
      <c r="AE68" s="26"/>
      <c r="AF68" s="26"/>
      <c r="AG68" s="26"/>
      <c r="AH68" s="26"/>
      <c r="AI68" s="26"/>
      <c r="AJ68" s="26"/>
      <c r="AK68" s="26"/>
    </row>
    <row r="69" spans="1:37" ht="14.5" customHeight="1" x14ac:dyDescent="0.35">
      <c r="A69" s="5" t="s">
        <v>163</v>
      </c>
      <c r="B69" s="7">
        <v>15311</v>
      </c>
      <c r="C69" s="7">
        <v>11946</v>
      </c>
      <c r="D69" s="7">
        <v>13475</v>
      </c>
      <c r="O69" s="72"/>
      <c r="P69" s="73"/>
      <c r="Q69" s="73"/>
      <c r="R69" s="73"/>
      <c r="S69" s="73"/>
      <c r="T69" s="73"/>
      <c r="U69" s="73"/>
      <c r="V69" s="73"/>
      <c r="W69" s="73"/>
      <c r="X69" s="73"/>
      <c r="Y69" s="74"/>
      <c r="AA69" s="26"/>
      <c r="AB69" s="26"/>
      <c r="AC69" s="26"/>
      <c r="AD69" s="26"/>
      <c r="AE69" s="26"/>
      <c r="AF69" s="26"/>
      <c r="AG69" s="26"/>
      <c r="AH69" s="26"/>
      <c r="AI69" s="26"/>
      <c r="AJ69" s="26"/>
      <c r="AK69" s="26"/>
    </row>
    <row r="70" spans="1:37" ht="14.5" customHeight="1" x14ac:dyDescent="0.35">
      <c r="A70" s="5" t="s">
        <v>164</v>
      </c>
      <c r="B70" s="7">
        <v>22785</v>
      </c>
      <c r="C70" s="7">
        <v>22460</v>
      </c>
      <c r="D70" s="7">
        <v>19362</v>
      </c>
      <c r="O70" s="72"/>
      <c r="P70" s="73"/>
      <c r="Q70" s="73"/>
      <c r="R70" s="73"/>
      <c r="S70" s="73"/>
      <c r="T70" s="73"/>
      <c r="U70" s="73"/>
      <c r="V70" s="73"/>
      <c r="W70" s="73"/>
      <c r="X70" s="73"/>
      <c r="Y70" s="74"/>
      <c r="AA70" s="26"/>
      <c r="AB70" s="26"/>
      <c r="AC70" s="26"/>
      <c r="AD70" s="26"/>
      <c r="AE70" s="26"/>
      <c r="AF70" s="26"/>
      <c r="AG70" s="26"/>
      <c r="AH70" s="26"/>
      <c r="AI70" s="26"/>
      <c r="AJ70" s="26"/>
      <c r="AK70" s="26"/>
    </row>
    <row r="71" spans="1:37" ht="14.5" customHeight="1" x14ac:dyDescent="0.35">
      <c r="A71" s="5" t="s">
        <v>14</v>
      </c>
      <c r="B71" s="7">
        <v>-5257</v>
      </c>
      <c r="C71" s="7">
        <v>-7763</v>
      </c>
      <c r="D71" s="7">
        <v>-8081</v>
      </c>
      <c r="O71" s="72"/>
      <c r="P71" s="73"/>
      <c r="Q71" s="73"/>
      <c r="R71" s="73"/>
      <c r="S71" s="73"/>
      <c r="T71" s="73"/>
      <c r="U71" s="73"/>
      <c r="V71" s="73"/>
      <c r="W71" s="73"/>
      <c r="X71" s="73"/>
      <c r="Y71" s="74"/>
      <c r="AA71" s="26"/>
      <c r="AB71" s="26"/>
      <c r="AC71" s="26"/>
      <c r="AD71" s="26"/>
      <c r="AE71" s="26"/>
      <c r="AF71" s="26"/>
      <c r="AG71" s="26"/>
      <c r="AH71" s="26"/>
      <c r="AI71" s="26"/>
      <c r="AJ71" s="26"/>
      <c r="AK71" s="26"/>
    </row>
    <row r="72" spans="1:37" ht="14.5" customHeight="1" x14ac:dyDescent="0.35">
      <c r="A72" s="5" t="s">
        <v>165</v>
      </c>
      <c r="B72" s="7">
        <v>-2671</v>
      </c>
      <c r="C72" s="7">
        <v>823</v>
      </c>
      <c r="D72" s="7">
        <v>5519</v>
      </c>
      <c r="O72" s="72"/>
      <c r="P72" s="73"/>
      <c r="Q72" s="73"/>
      <c r="R72" s="73"/>
      <c r="S72" s="73"/>
      <c r="T72" s="73"/>
      <c r="U72" s="73"/>
      <c r="V72" s="73"/>
      <c r="W72" s="73"/>
      <c r="X72" s="73"/>
      <c r="Y72" s="74"/>
      <c r="AA72" s="26"/>
      <c r="AB72" s="26"/>
      <c r="AC72" s="26"/>
      <c r="AD72" s="26"/>
      <c r="AE72" s="26"/>
      <c r="AF72" s="26"/>
      <c r="AG72" s="26"/>
      <c r="AH72" s="26"/>
      <c r="AI72" s="26"/>
      <c r="AJ72" s="26"/>
      <c r="AK72" s="26"/>
    </row>
    <row r="73" spans="1:37" ht="14.5" customHeight="1" x14ac:dyDescent="0.35">
      <c r="A73" s="5" t="s">
        <v>166</v>
      </c>
      <c r="B73" s="7">
        <v>3419</v>
      </c>
      <c r="C73" s="7">
        <v>4330</v>
      </c>
      <c r="D73" s="7">
        <v>3483</v>
      </c>
      <c r="F73" s="23"/>
      <c r="O73" s="72"/>
      <c r="P73" s="73"/>
      <c r="Q73" s="73"/>
      <c r="R73" s="73"/>
      <c r="S73" s="73"/>
      <c r="T73" s="73"/>
      <c r="U73" s="73"/>
      <c r="V73" s="73"/>
      <c r="W73" s="73"/>
      <c r="X73" s="73"/>
      <c r="Y73" s="74"/>
      <c r="AA73" s="26"/>
      <c r="AB73" s="26"/>
      <c r="AC73" s="26"/>
      <c r="AD73" s="26"/>
      <c r="AE73" s="26"/>
      <c r="AF73" s="26"/>
      <c r="AG73" s="26"/>
      <c r="AH73" s="26"/>
      <c r="AI73" s="26"/>
      <c r="AJ73" s="26"/>
      <c r="AK73" s="26"/>
    </row>
    <row r="74" spans="1:37" x14ac:dyDescent="0.35">
      <c r="A74" s="4" t="s">
        <v>167</v>
      </c>
      <c r="B74" s="5" t="s">
        <v>9</v>
      </c>
      <c r="C74" s="5" t="s">
        <v>9</v>
      </c>
      <c r="D74" s="5" t="s">
        <v>9</v>
      </c>
      <c r="O74" s="72"/>
      <c r="P74" s="73"/>
      <c r="Q74" s="73"/>
      <c r="R74" s="73"/>
      <c r="S74" s="73"/>
      <c r="T74" s="73"/>
      <c r="U74" s="73"/>
      <c r="V74" s="73"/>
      <c r="W74" s="73"/>
      <c r="X74" s="73"/>
      <c r="Y74" s="74"/>
      <c r="AA74" s="26"/>
      <c r="AB74" s="26"/>
      <c r="AC74" s="26"/>
      <c r="AD74" s="26"/>
      <c r="AE74" s="26"/>
      <c r="AF74" s="26"/>
      <c r="AG74" s="26"/>
      <c r="AH74" s="26"/>
      <c r="AI74" s="26"/>
      <c r="AJ74" s="26"/>
      <c r="AK74" s="26"/>
    </row>
    <row r="75" spans="1:37" x14ac:dyDescent="0.35">
      <c r="A75" s="5" t="s">
        <v>122</v>
      </c>
      <c r="B75" s="7">
        <v>-5891</v>
      </c>
      <c r="C75" s="7">
        <v>-7833</v>
      </c>
      <c r="D75" s="7">
        <v>-2317</v>
      </c>
      <c r="O75" s="72"/>
      <c r="P75" s="73"/>
      <c r="Q75" s="73"/>
      <c r="R75" s="73"/>
      <c r="S75" s="73"/>
      <c r="T75" s="73"/>
      <c r="U75" s="73"/>
      <c r="V75" s="73"/>
      <c r="W75" s="73"/>
      <c r="X75" s="73"/>
      <c r="Y75" s="74"/>
      <c r="AA75" s="26"/>
      <c r="AB75" s="26"/>
      <c r="AC75" s="26"/>
      <c r="AD75" s="26"/>
      <c r="AE75" s="26"/>
      <c r="AF75" s="26"/>
      <c r="AG75" s="26"/>
      <c r="AH75" s="26"/>
      <c r="AI75" s="26"/>
      <c r="AJ75" s="26"/>
      <c r="AK75" s="26"/>
    </row>
    <row r="76" spans="1:37" ht="15" thickBot="1" x14ac:dyDescent="0.4">
      <c r="A76" s="5" t="s">
        <v>168</v>
      </c>
      <c r="B76" s="7">
        <v>-2418</v>
      </c>
      <c r="C76" s="7">
        <v>523</v>
      </c>
      <c r="D76" s="7">
        <v>584</v>
      </c>
      <c r="O76" s="75"/>
      <c r="P76" s="76"/>
      <c r="Q76" s="76"/>
      <c r="R76" s="76"/>
      <c r="S76" s="76"/>
      <c r="T76" s="76"/>
      <c r="U76" s="76"/>
      <c r="V76" s="76"/>
      <c r="W76" s="76"/>
      <c r="X76" s="76"/>
      <c r="Y76" s="77"/>
      <c r="AA76" s="26"/>
      <c r="AB76" s="26"/>
      <c r="AC76" s="26"/>
      <c r="AD76" s="26"/>
      <c r="AE76" s="26"/>
      <c r="AF76" s="26"/>
      <c r="AG76" s="26"/>
      <c r="AH76" s="26"/>
      <c r="AI76" s="26"/>
      <c r="AJ76" s="26"/>
      <c r="AK76" s="26"/>
    </row>
    <row r="77" spans="1:37" ht="15" thickBot="1" x14ac:dyDescent="0.4">
      <c r="A77" s="5" t="s">
        <v>169</v>
      </c>
      <c r="B77" s="7">
        <v>-1397</v>
      </c>
      <c r="C77" s="7">
        <v>-2143</v>
      </c>
      <c r="D77" s="7">
        <v>-5046</v>
      </c>
      <c r="AA77" s="26"/>
      <c r="AB77" s="26"/>
      <c r="AC77" s="26"/>
      <c r="AD77" s="26"/>
      <c r="AE77" s="26"/>
      <c r="AF77" s="26"/>
      <c r="AG77" s="26"/>
      <c r="AH77" s="26"/>
      <c r="AI77" s="26"/>
      <c r="AJ77" s="26"/>
      <c r="AK77" s="26"/>
    </row>
    <row r="78" spans="1:37" x14ac:dyDescent="0.35">
      <c r="A78" s="5" t="s">
        <v>19</v>
      </c>
      <c r="B78" s="7">
        <v>359</v>
      </c>
      <c r="C78" s="7">
        <v>664</v>
      </c>
      <c r="D78" s="7">
        <v>707</v>
      </c>
      <c r="O78" s="78" t="s">
        <v>217</v>
      </c>
      <c r="P78" s="79"/>
      <c r="Q78" s="79"/>
      <c r="R78" s="79"/>
      <c r="S78" s="79"/>
      <c r="T78" s="79"/>
      <c r="U78" s="79"/>
      <c r="V78" s="79"/>
      <c r="W78" s="79"/>
      <c r="X78" s="79"/>
      <c r="Y78" s="80"/>
      <c r="AA78" s="26"/>
      <c r="AB78" s="26"/>
      <c r="AC78" s="26"/>
      <c r="AD78" s="26"/>
      <c r="AE78" s="26"/>
      <c r="AF78" s="26"/>
      <c r="AG78" s="26"/>
      <c r="AH78" s="26"/>
      <c r="AI78" s="26"/>
      <c r="AJ78" s="26"/>
      <c r="AK78" s="26"/>
    </row>
    <row r="79" spans="1:37" x14ac:dyDescent="0.35">
      <c r="A79" s="5" t="s">
        <v>170</v>
      </c>
      <c r="B79" s="7">
        <v>-1161</v>
      </c>
      <c r="C79" s="7">
        <v>3937</v>
      </c>
      <c r="D79" s="7">
        <v>3915</v>
      </c>
      <c r="O79" s="81"/>
      <c r="P79" s="82"/>
      <c r="Q79" s="82"/>
      <c r="R79" s="82"/>
      <c r="S79" s="82"/>
      <c r="T79" s="82"/>
      <c r="U79" s="82"/>
      <c r="V79" s="82"/>
      <c r="W79" s="82"/>
      <c r="X79" s="82"/>
      <c r="Y79" s="83"/>
      <c r="AA79" s="26"/>
      <c r="AB79" s="26"/>
      <c r="AC79" s="26"/>
      <c r="AD79" s="26"/>
      <c r="AE79" s="26"/>
      <c r="AF79" s="26"/>
      <c r="AG79" s="26"/>
      <c r="AH79" s="26"/>
      <c r="AI79" s="26"/>
      <c r="AJ79" s="26"/>
      <c r="AK79" s="26"/>
    </row>
    <row r="80" spans="1:37" x14ac:dyDescent="0.35">
      <c r="A80" s="5" t="s">
        <v>132</v>
      </c>
      <c r="B80" s="7">
        <v>1059</v>
      </c>
      <c r="C80" s="7">
        <v>482</v>
      </c>
      <c r="D80" s="7">
        <v>-445</v>
      </c>
      <c r="O80" s="81"/>
      <c r="P80" s="82"/>
      <c r="Q80" s="82"/>
      <c r="R80" s="82"/>
      <c r="S80" s="82"/>
      <c r="T80" s="82"/>
      <c r="U80" s="82"/>
      <c r="V80" s="82"/>
      <c r="W80" s="82"/>
      <c r="X80" s="82"/>
      <c r="Y80" s="83"/>
      <c r="AA80" s="26"/>
      <c r="AB80" s="26"/>
      <c r="AC80" s="26"/>
      <c r="AD80" s="26"/>
      <c r="AE80" s="26"/>
      <c r="AF80" s="26"/>
      <c r="AG80" s="26"/>
      <c r="AH80" s="26"/>
      <c r="AI80" s="26"/>
      <c r="AJ80" s="26"/>
      <c r="AK80" s="26"/>
    </row>
    <row r="81" spans="1:37" x14ac:dyDescent="0.35">
      <c r="A81" s="5" t="s">
        <v>133</v>
      </c>
      <c r="B81" s="7">
        <v>1043</v>
      </c>
      <c r="C81" s="7">
        <v>525</v>
      </c>
      <c r="D81" s="7">
        <v>367</v>
      </c>
      <c r="O81" s="81"/>
      <c r="P81" s="82"/>
      <c r="Q81" s="82"/>
      <c r="R81" s="82"/>
      <c r="S81" s="82"/>
      <c r="T81" s="82"/>
      <c r="U81" s="82"/>
      <c r="V81" s="82"/>
      <c r="W81" s="82"/>
      <c r="X81" s="82"/>
      <c r="Y81" s="83"/>
      <c r="AA81" s="26"/>
      <c r="AB81" s="26"/>
      <c r="AC81" s="26"/>
      <c r="AD81" s="26"/>
      <c r="AE81" s="26"/>
      <c r="AF81" s="26"/>
      <c r="AG81" s="26"/>
      <c r="AH81" s="26"/>
      <c r="AI81" s="26"/>
      <c r="AJ81" s="26"/>
      <c r="AK81" s="26"/>
    </row>
    <row r="82" spans="1:37" x14ac:dyDescent="0.35">
      <c r="A82" s="5" t="s">
        <v>22</v>
      </c>
      <c r="B82" s="7">
        <v>125299</v>
      </c>
      <c r="C82" s="7">
        <v>101746</v>
      </c>
      <c r="D82" s="7">
        <v>91495</v>
      </c>
      <c r="F82" t="s">
        <v>302</v>
      </c>
      <c r="I82" t="s">
        <v>193</v>
      </c>
      <c r="J82">
        <f>G83/G84</f>
        <v>1.8369313974102914</v>
      </c>
      <c r="K82">
        <f>H83/H84</f>
        <v>2.0965849365634242</v>
      </c>
      <c r="O82" s="81"/>
      <c r="P82" s="82"/>
      <c r="Q82" s="82"/>
      <c r="R82" s="82"/>
      <c r="S82" s="82"/>
      <c r="T82" s="82"/>
      <c r="U82" s="82"/>
      <c r="V82" s="82"/>
      <c r="W82" s="82"/>
      <c r="X82" s="82"/>
      <c r="Y82" s="83"/>
      <c r="AA82" s="26"/>
      <c r="AB82" s="26"/>
      <c r="AC82" s="26"/>
      <c r="AD82" s="26"/>
      <c r="AE82" s="26"/>
      <c r="AF82" s="26"/>
      <c r="AG82" s="26"/>
      <c r="AH82" s="26"/>
      <c r="AI82" s="26"/>
      <c r="AJ82" s="26"/>
      <c r="AK82" s="26"/>
    </row>
    <row r="83" spans="1:37" x14ac:dyDescent="0.35">
      <c r="A83" s="4" t="s">
        <v>171</v>
      </c>
      <c r="B83" s="5" t="s">
        <v>9</v>
      </c>
      <c r="C83" s="5" t="s">
        <v>9</v>
      </c>
      <c r="D83" s="5" t="s">
        <v>9</v>
      </c>
      <c r="F83" t="str">
        <f>A14</f>
        <v>Total current assets</v>
      </c>
      <c r="G83">
        <f t="shared" ref="G83:H83" si="33">B14</f>
        <v>163711</v>
      </c>
      <c r="H83">
        <f t="shared" si="33"/>
        <v>171530</v>
      </c>
      <c r="I83" t="s">
        <v>191</v>
      </c>
      <c r="O83" s="81"/>
      <c r="P83" s="82"/>
      <c r="Q83" s="82"/>
      <c r="R83" s="82"/>
      <c r="S83" s="82"/>
      <c r="T83" s="82"/>
      <c r="U83" s="82"/>
      <c r="V83" s="82"/>
      <c r="W83" s="82"/>
      <c r="X83" s="82"/>
      <c r="Y83" s="83"/>
      <c r="AA83" s="26"/>
      <c r="AB83" s="26"/>
      <c r="AC83" s="26"/>
      <c r="AD83" s="26"/>
      <c r="AE83" s="26"/>
      <c r="AF83" s="26"/>
      <c r="AG83" s="26"/>
      <c r="AH83" s="26"/>
      <c r="AI83" s="26"/>
      <c r="AJ83" s="26"/>
      <c r="AK83" s="26"/>
    </row>
    <row r="84" spans="1:37" x14ac:dyDescent="0.35">
      <c r="A84" s="5" t="s">
        <v>172</v>
      </c>
      <c r="B84" s="7">
        <v>-52535</v>
      </c>
      <c r="C84" s="7">
        <v>-32251</v>
      </c>
      <c r="D84" s="7">
        <v>-31485</v>
      </c>
      <c r="F84" t="str">
        <f>A28</f>
        <v>Total current liabilities</v>
      </c>
      <c r="G84">
        <f t="shared" ref="G84:H84" si="34">B28</f>
        <v>89122</v>
      </c>
      <c r="H84">
        <f t="shared" si="34"/>
        <v>81814</v>
      </c>
      <c r="I84" t="s">
        <v>192</v>
      </c>
      <c r="O84" s="81"/>
      <c r="P84" s="82"/>
      <c r="Q84" s="82"/>
      <c r="R84" s="82"/>
      <c r="S84" s="82"/>
      <c r="T84" s="82"/>
      <c r="U84" s="82"/>
      <c r="V84" s="82"/>
      <c r="W84" s="82"/>
      <c r="X84" s="82"/>
      <c r="Y84" s="83"/>
      <c r="AA84" s="26"/>
      <c r="AB84" s="26"/>
      <c r="AC84" s="26"/>
      <c r="AD84" s="26"/>
      <c r="AE84" s="26"/>
      <c r="AF84" s="26"/>
      <c r="AG84" s="26"/>
      <c r="AH84" s="26"/>
      <c r="AI84" s="26"/>
      <c r="AJ84" s="26"/>
      <c r="AK84" s="26"/>
    </row>
    <row r="85" spans="1:37" ht="15" thickBot="1" x14ac:dyDescent="0.4">
      <c r="A85" s="5" t="s">
        <v>173</v>
      </c>
      <c r="B85" s="7">
        <v>-86679</v>
      </c>
      <c r="C85" s="7">
        <v>-77858</v>
      </c>
      <c r="D85" s="7">
        <v>-78874</v>
      </c>
      <c r="O85" s="84"/>
      <c r="P85" s="85"/>
      <c r="Q85" s="85"/>
      <c r="R85" s="85"/>
      <c r="S85" s="85"/>
      <c r="T85" s="85"/>
      <c r="U85" s="85"/>
      <c r="V85" s="85"/>
      <c r="W85" s="85"/>
      <c r="X85" s="85"/>
      <c r="Y85" s="86"/>
      <c r="AA85" s="26"/>
      <c r="AB85" s="26"/>
      <c r="AC85" s="26"/>
      <c r="AD85" s="26"/>
      <c r="AE85" s="26"/>
      <c r="AF85" s="26"/>
      <c r="AG85" s="26"/>
      <c r="AH85" s="26"/>
      <c r="AI85" s="26"/>
      <c r="AJ85" s="26"/>
      <c r="AK85" s="26"/>
    </row>
    <row r="86" spans="1:37" x14ac:dyDescent="0.35">
      <c r="A86" s="5" t="s">
        <v>174</v>
      </c>
      <c r="B86" s="7">
        <v>103428</v>
      </c>
      <c r="C86" s="7">
        <v>86672</v>
      </c>
      <c r="D86" s="7">
        <v>97822</v>
      </c>
      <c r="F86" t="s">
        <v>212</v>
      </c>
      <c r="I86" t="s">
        <v>193</v>
      </c>
      <c r="J86">
        <f>G87/G88</f>
        <v>0.35797873252232743</v>
      </c>
      <c r="K86">
        <f>H87/H88</f>
        <v>0.33099540004033912</v>
      </c>
    </row>
    <row r="87" spans="1:37" ht="45" customHeight="1" x14ac:dyDescent="0.35">
      <c r="A87" s="5" t="s">
        <v>175</v>
      </c>
      <c r="B87" s="7">
        <v>-5034</v>
      </c>
      <c r="C87" s="7">
        <v>-3027</v>
      </c>
      <c r="D87" s="7">
        <v>-2531</v>
      </c>
      <c r="F87" s="23" t="str">
        <f>A82</f>
        <v>Net cash provided by operating activities</v>
      </c>
      <c r="G87" s="23">
        <f t="shared" ref="G87:H87" si="35">B82</f>
        <v>125299</v>
      </c>
      <c r="H87" s="23">
        <f t="shared" si="35"/>
        <v>101746</v>
      </c>
      <c r="I87" t="s">
        <v>191</v>
      </c>
    </row>
    <row r="88" spans="1:37" x14ac:dyDescent="0.35">
      <c r="A88" s="5" t="s">
        <v>176</v>
      </c>
      <c r="B88" s="7">
        <v>882</v>
      </c>
      <c r="C88" s="7">
        <v>947</v>
      </c>
      <c r="D88" s="7">
        <v>150</v>
      </c>
      <c r="F88" t="str">
        <f>A47</f>
        <v>Revenues</v>
      </c>
      <c r="G88">
        <f t="shared" ref="G88:H88" si="36">B47</f>
        <v>350018</v>
      </c>
      <c r="H88">
        <f t="shared" si="36"/>
        <v>307394</v>
      </c>
      <c r="I88" t="s">
        <v>192</v>
      </c>
    </row>
    <row r="89" spans="1:37" x14ac:dyDescent="0.35">
      <c r="A89" s="5" t="s">
        <v>177</v>
      </c>
      <c r="B89" s="7">
        <v>-2931</v>
      </c>
      <c r="C89" s="7">
        <v>-495</v>
      </c>
      <c r="D89" s="7">
        <v>-6969</v>
      </c>
    </row>
    <row r="90" spans="1:37" x14ac:dyDescent="0.35">
      <c r="A90" s="5" t="s">
        <v>28</v>
      </c>
      <c r="B90" s="7">
        <v>-2667</v>
      </c>
      <c r="C90" s="7">
        <v>-1051</v>
      </c>
      <c r="D90" s="7">
        <v>1589</v>
      </c>
    </row>
    <row r="91" spans="1:37" x14ac:dyDescent="0.35">
      <c r="A91" s="5" t="s">
        <v>29</v>
      </c>
      <c r="B91" s="7">
        <v>-45536</v>
      </c>
      <c r="C91" s="7">
        <v>-27063</v>
      </c>
      <c r="D91" s="7">
        <v>-20298</v>
      </c>
    </row>
    <row r="92" spans="1:37" x14ac:dyDescent="0.35">
      <c r="A92" s="4" t="s">
        <v>178</v>
      </c>
      <c r="B92" s="5" t="s">
        <v>9</v>
      </c>
      <c r="C92" s="5" t="s">
        <v>9</v>
      </c>
      <c r="D92" s="5" t="s">
        <v>9</v>
      </c>
    </row>
    <row r="93" spans="1:37" x14ac:dyDescent="0.35">
      <c r="A93" s="5" t="s">
        <v>179</v>
      </c>
      <c r="B93" s="7">
        <v>-12190</v>
      </c>
      <c r="C93" s="7">
        <v>-9837</v>
      </c>
      <c r="D93" s="7">
        <v>-9300</v>
      </c>
    </row>
    <row r="94" spans="1:37" x14ac:dyDescent="0.35">
      <c r="A94" s="5" t="s">
        <v>180</v>
      </c>
      <c r="B94" s="7">
        <v>-62222</v>
      </c>
      <c r="C94" s="7">
        <v>-61504</v>
      </c>
      <c r="D94" s="7">
        <v>-59296</v>
      </c>
    </row>
    <row r="95" spans="1:37" x14ac:dyDescent="0.35">
      <c r="A95" s="5" t="s">
        <v>181</v>
      </c>
      <c r="B95" s="7">
        <v>-7363</v>
      </c>
      <c r="C95" s="7">
        <v>0</v>
      </c>
      <c r="D95" s="7">
        <v>0</v>
      </c>
    </row>
    <row r="96" spans="1:37" x14ac:dyDescent="0.35">
      <c r="A96" s="5" t="s">
        <v>182</v>
      </c>
      <c r="B96" s="7">
        <v>13589</v>
      </c>
      <c r="C96" s="7">
        <v>10790</v>
      </c>
      <c r="D96" s="7">
        <v>52872</v>
      </c>
    </row>
    <row r="97" spans="1:4" x14ac:dyDescent="0.35">
      <c r="A97" s="5" t="s">
        <v>183</v>
      </c>
      <c r="B97" s="7">
        <v>-12701</v>
      </c>
      <c r="C97" s="7">
        <v>-11550</v>
      </c>
      <c r="D97" s="7">
        <v>-54068</v>
      </c>
    </row>
    <row r="98" spans="1:4" x14ac:dyDescent="0.35">
      <c r="A98" s="5" t="s">
        <v>184</v>
      </c>
      <c r="B98" s="7">
        <v>1154</v>
      </c>
      <c r="C98" s="7">
        <v>8</v>
      </c>
      <c r="D98" s="7">
        <v>35</v>
      </c>
    </row>
    <row r="99" spans="1:4" x14ac:dyDescent="0.35">
      <c r="A99" s="5" t="s">
        <v>40</v>
      </c>
      <c r="B99" s="7">
        <v>-79733</v>
      </c>
      <c r="C99" s="7">
        <v>-72093</v>
      </c>
      <c r="D99" s="7">
        <v>-69757</v>
      </c>
    </row>
    <row r="100" spans="1:4" x14ac:dyDescent="0.35">
      <c r="A100" s="5" t="s">
        <v>185</v>
      </c>
      <c r="B100" s="7">
        <v>-612</v>
      </c>
      <c r="C100" s="7">
        <v>-421</v>
      </c>
      <c r="D100" s="7">
        <v>-506</v>
      </c>
    </row>
    <row r="101" spans="1:4" x14ac:dyDescent="0.35">
      <c r="A101" s="5" t="s">
        <v>186</v>
      </c>
      <c r="B101" s="7">
        <v>-582</v>
      </c>
      <c r="C101" s="7">
        <v>2169</v>
      </c>
      <c r="D101" s="7">
        <v>934</v>
      </c>
    </row>
    <row r="102" spans="1:4" x14ac:dyDescent="0.35">
      <c r="A102" s="5" t="s">
        <v>187</v>
      </c>
      <c r="B102" s="7">
        <v>24048</v>
      </c>
      <c r="C102" s="7">
        <v>21879</v>
      </c>
      <c r="D102" s="7">
        <v>20945</v>
      </c>
    </row>
    <row r="103" spans="1:4" x14ac:dyDescent="0.35">
      <c r="A103" s="5" t="s">
        <v>188</v>
      </c>
      <c r="B103" s="6">
        <v>23466</v>
      </c>
      <c r="C103" s="6">
        <v>24048</v>
      </c>
      <c r="D103" s="6">
        <v>21879</v>
      </c>
    </row>
  </sheetData>
  <mergeCells count="22">
    <mergeCell ref="A5:L5"/>
    <mergeCell ref="A44:A45"/>
    <mergeCell ref="B44:D44"/>
    <mergeCell ref="A64:A65"/>
    <mergeCell ref="B64:D64"/>
    <mergeCell ref="F9:G9"/>
    <mergeCell ref="F8:H8"/>
    <mergeCell ref="F13:H13"/>
    <mergeCell ref="F17:G17"/>
    <mergeCell ref="F27:G27"/>
    <mergeCell ref="F38:H38"/>
    <mergeCell ref="F47:G47"/>
    <mergeCell ref="F48:G48"/>
    <mergeCell ref="F52:G52"/>
    <mergeCell ref="F56:G56"/>
    <mergeCell ref="O54:Y62"/>
    <mergeCell ref="O64:Y76"/>
    <mergeCell ref="O78:Y85"/>
    <mergeCell ref="O6:Y18"/>
    <mergeCell ref="O20:Y32"/>
    <mergeCell ref="O34:Y40"/>
    <mergeCell ref="O42:Y5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A5A5-C83F-4672-B2A1-FBDE16C3CCA7}">
  <dimension ref="A2:AX104"/>
  <sheetViews>
    <sheetView topLeftCell="M1" zoomScale="80" zoomScaleNormal="80" workbookViewId="0">
      <selection activeCell="Z5" sqref="Z5"/>
    </sheetView>
  </sheetViews>
  <sheetFormatPr defaultColWidth="8.81640625" defaultRowHeight="14.5" x14ac:dyDescent="0.35"/>
  <cols>
    <col min="1" max="1" width="72.1796875" customWidth="1"/>
    <col min="2" max="2" width="12.81640625" customWidth="1"/>
    <col min="3" max="3" width="12.36328125" customWidth="1"/>
    <col min="4" max="4" width="9.6328125" customWidth="1"/>
    <col min="5" max="5" width="9.81640625" customWidth="1"/>
    <col min="6" max="6" width="22.81640625" customWidth="1"/>
    <col min="7" max="7" width="10.1796875" customWidth="1"/>
    <col min="12" max="12" width="8.81640625" customWidth="1"/>
    <col min="14" max="14" width="33.1796875" customWidth="1"/>
    <col min="22" max="22" width="22.6328125" customWidth="1"/>
  </cols>
  <sheetData>
    <row r="2" spans="1:50" x14ac:dyDescent="0.35">
      <c r="C2" s="1" t="s">
        <v>0</v>
      </c>
      <c r="D2" s="1">
        <f>SUM(E2:F2)</f>
        <v>6</v>
      </c>
      <c r="E2" s="1">
        <v>3</v>
      </c>
      <c r="F2" s="1">
        <v>3</v>
      </c>
    </row>
    <row r="3" spans="1:50" x14ac:dyDescent="0.35">
      <c r="C3" s="1" t="s">
        <v>1</v>
      </c>
      <c r="D3" s="1">
        <f>SUM(E3:F3)</f>
        <v>0</v>
      </c>
      <c r="E3" s="1">
        <v>0</v>
      </c>
      <c r="F3" s="1">
        <v>0</v>
      </c>
    </row>
    <row r="5" spans="1:50" x14ac:dyDescent="0.35">
      <c r="A5" s="40" t="s">
        <v>2</v>
      </c>
      <c r="B5" s="40"/>
      <c r="C5" s="40"/>
      <c r="D5" s="40"/>
      <c r="E5" s="40"/>
      <c r="F5" s="40"/>
      <c r="G5" s="40"/>
      <c r="H5" s="40"/>
      <c r="I5" s="40"/>
      <c r="J5" s="40"/>
      <c r="K5" s="40"/>
    </row>
    <row r="7" spans="1:50" ht="14.5" customHeight="1" thickBot="1" x14ac:dyDescent="0.4">
      <c r="A7" s="8" t="s">
        <v>118</v>
      </c>
      <c r="B7" s="3" t="s">
        <v>246</v>
      </c>
      <c r="C7" s="3" t="s">
        <v>247</v>
      </c>
      <c r="N7" s="36" t="s">
        <v>294</v>
      </c>
    </row>
    <row r="8" spans="1:50" x14ac:dyDescent="0.35">
      <c r="A8" s="4" t="s">
        <v>119</v>
      </c>
      <c r="B8" s="5" t="s">
        <v>9</v>
      </c>
      <c r="C8" s="5" t="s">
        <v>9</v>
      </c>
      <c r="F8" s="2" t="s">
        <v>222</v>
      </c>
      <c r="V8" s="2" t="s">
        <v>245</v>
      </c>
      <c r="AJ8" s="78" t="s">
        <v>297</v>
      </c>
      <c r="AK8" s="79"/>
      <c r="AL8" s="79"/>
      <c r="AM8" s="79"/>
      <c r="AN8" s="79"/>
      <c r="AO8" s="79"/>
      <c r="AP8" s="79"/>
      <c r="AQ8" s="79"/>
      <c r="AR8" s="79"/>
      <c r="AS8" s="79"/>
      <c r="AT8" s="79"/>
      <c r="AU8" s="79"/>
      <c r="AV8" s="79"/>
      <c r="AW8" s="79"/>
      <c r="AX8" s="80"/>
    </row>
    <row r="9" spans="1:50" x14ac:dyDescent="0.35">
      <c r="A9" s="5" t="s">
        <v>248</v>
      </c>
      <c r="B9" s="6">
        <v>7464</v>
      </c>
      <c r="C9" s="6">
        <v>9860</v>
      </c>
      <c r="G9">
        <v>2025</v>
      </c>
      <c r="H9">
        <v>2024</v>
      </c>
      <c r="J9">
        <v>2025</v>
      </c>
      <c r="K9">
        <v>2024</v>
      </c>
      <c r="O9">
        <v>2025</v>
      </c>
      <c r="P9">
        <v>2024</v>
      </c>
      <c r="R9">
        <v>2025</v>
      </c>
      <c r="S9">
        <v>2024</v>
      </c>
      <c r="W9">
        <v>2025</v>
      </c>
      <c r="X9">
        <v>2024</v>
      </c>
      <c r="Z9">
        <v>2025</v>
      </c>
      <c r="AA9">
        <v>2024</v>
      </c>
      <c r="AJ9" s="81"/>
      <c r="AK9" s="82"/>
      <c r="AL9" s="82"/>
      <c r="AM9" s="82"/>
      <c r="AN9" s="82"/>
      <c r="AO9" s="82"/>
      <c r="AP9" s="82"/>
      <c r="AQ9" s="82"/>
      <c r="AR9" s="82"/>
      <c r="AS9" s="82"/>
      <c r="AT9" s="82"/>
      <c r="AU9" s="82"/>
      <c r="AV9" s="82"/>
      <c r="AW9" s="82"/>
      <c r="AX9" s="83"/>
    </row>
    <row r="10" spans="1:50" ht="15" thickBot="1" x14ac:dyDescent="0.4">
      <c r="A10" s="5" t="s">
        <v>249</v>
      </c>
      <c r="B10" s="7">
        <v>1687</v>
      </c>
      <c r="C10" s="7">
        <v>1722</v>
      </c>
      <c r="G10" t="s">
        <v>223</v>
      </c>
      <c r="H10" t="s">
        <v>223</v>
      </c>
      <c r="J10" t="s">
        <v>224</v>
      </c>
      <c r="K10" t="s">
        <v>224</v>
      </c>
      <c r="O10" t="s">
        <v>223</v>
      </c>
      <c r="P10" t="s">
        <v>223</v>
      </c>
      <c r="R10" t="s">
        <v>224</v>
      </c>
      <c r="S10" t="s">
        <v>224</v>
      </c>
      <c r="W10" t="s">
        <v>223</v>
      </c>
      <c r="X10" t="s">
        <v>223</v>
      </c>
      <c r="Z10" t="s">
        <v>224</v>
      </c>
      <c r="AA10" t="s">
        <v>224</v>
      </c>
      <c r="AJ10" s="81"/>
      <c r="AK10" s="82"/>
      <c r="AL10" s="82"/>
      <c r="AM10" s="82"/>
      <c r="AN10" s="82"/>
      <c r="AO10" s="82"/>
      <c r="AP10" s="82"/>
      <c r="AQ10" s="82"/>
      <c r="AR10" s="82"/>
      <c r="AS10" s="82"/>
      <c r="AT10" s="82"/>
      <c r="AU10" s="82"/>
      <c r="AV10" s="82"/>
      <c r="AW10" s="82"/>
      <c r="AX10" s="83"/>
    </row>
    <row r="11" spans="1:50" x14ac:dyDescent="0.35">
      <c r="A11" s="5" t="s">
        <v>122</v>
      </c>
      <c r="B11" s="7">
        <v>4717</v>
      </c>
      <c r="C11" s="7">
        <v>4427</v>
      </c>
      <c r="E11" s="28" t="s">
        <v>226</v>
      </c>
      <c r="F11" s="29" t="str">
        <f>A62</f>
        <v>NET INCOME</v>
      </c>
      <c r="G11" s="29">
        <f t="shared" ref="G11:H11" si="0">B62</f>
        <v>3219</v>
      </c>
      <c r="H11" s="29">
        <f t="shared" si="0"/>
        <v>5700</v>
      </c>
      <c r="I11" s="29"/>
      <c r="J11" s="29">
        <f>G11/G12</f>
        <v>6.9511326092120324E-2</v>
      </c>
      <c r="K11" s="30">
        <f>H11/H12</f>
        <v>0.11097698687745804</v>
      </c>
      <c r="M11" s="28" t="s">
        <v>225</v>
      </c>
      <c r="N11" s="29" t="str">
        <f>A62</f>
        <v>NET INCOME</v>
      </c>
      <c r="O11" s="29">
        <f t="shared" ref="O11:P11" si="1">B62</f>
        <v>3219</v>
      </c>
      <c r="P11" s="29">
        <f t="shared" si="1"/>
        <v>5700</v>
      </c>
      <c r="Q11" s="29"/>
      <c r="R11" s="29">
        <f>O11/O12</f>
        <v>0.24362370392794974</v>
      </c>
      <c r="S11" s="29">
        <f>P11/P12</f>
        <v>0.39501039501039503</v>
      </c>
      <c r="U11" s="28" t="s">
        <v>228</v>
      </c>
      <c r="V11" s="29" t="str">
        <f>A21</f>
        <v>TOTAL ASSETS</v>
      </c>
      <c r="W11" s="29">
        <f t="shared" ref="W11:X11" si="2">B21</f>
        <v>36579</v>
      </c>
      <c r="X11" s="29">
        <f t="shared" si="2"/>
        <v>38110</v>
      </c>
      <c r="Y11" s="29"/>
      <c r="Z11" s="29">
        <f>W11/W12</f>
        <v>2.7684098993415573</v>
      </c>
      <c r="AA11" s="30">
        <f>X11/X12</f>
        <v>2.641025641025641</v>
      </c>
      <c r="AJ11" s="81"/>
      <c r="AK11" s="82"/>
      <c r="AL11" s="82"/>
      <c r="AM11" s="82"/>
      <c r="AN11" s="82"/>
      <c r="AO11" s="82"/>
      <c r="AP11" s="82"/>
      <c r="AQ11" s="82"/>
      <c r="AR11" s="82"/>
      <c r="AS11" s="82"/>
      <c r="AT11" s="82"/>
      <c r="AU11" s="82"/>
      <c r="AV11" s="82"/>
      <c r="AW11" s="82"/>
      <c r="AX11" s="83"/>
    </row>
    <row r="12" spans="1:50" ht="15" thickBot="1" x14ac:dyDescent="0.4">
      <c r="A12" s="5" t="s">
        <v>18</v>
      </c>
      <c r="B12" s="7">
        <v>7489</v>
      </c>
      <c r="C12" s="7">
        <v>7519</v>
      </c>
      <c r="E12" s="31"/>
      <c r="F12" s="32" t="str">
        <f>A52</f>
        <v>Revenues</v>
      </c>
      <c r="G12" s="32">
        <f t="shared" ref="G12:H12" si="3">B52</f>
        <v>46309</v>
      </c>
      <c r="H12" s="32">
        <f t="shared" si="3"/>
        <v>51362</v>
      </c>
      <c r="I12" s="32"/>
      <c r="J12" s="32">
        <v>1</v>
      </c>
      <c r="K12" s="33">
        <v>1</v>
      </c>
      <c r="M12" s="31"/>
      <c r="N12" s="32" t="str">
        <f>A39</f>
        <v>Total shareholders' equity</v>
      </c>
      <c r="O12" s="32">
        <f t="shared" ref="O12:P12" si="4">B39</f>
        <v>13213</v>
      </c>
      <c r="P12" s="32">
        <f t="shared" si="4"/>
        <v>14430</v>
      </c>
      <c r="Q12" s="32"/>
      <c r="R12" s="32">
        <v>1</v>
      </c>
      <c r="S12" s="33">
        <v>1</v>
      </c>
      <c r="U12" s="31"/>
      <c r="V12" s="32" t="str">
        <f>A39</f>
        <v>Total shareholders' equity</v>
      </c>
      <c r="W12" s="32">
        <f t="shared" ref="W12:X12" si="5">B39</f>
        <v>13213</v>
      </c>
      <c r="X12" s="32">
        <f t="shared" si="5"/>
        <v>14430</v>
      </c>
      <c r="Y12" s="32"/>
      <c r="Z12" s="32">
        <v>1</v>
      </c>
      <c r="AA12" s="33">
        <v>1</v>
      </c>
      <c r="AJ12" s="81"/>
      <c r="AK12" s="82"/>
      <c r="AL12" s="82"/>
      <c r="AM12" s="82"/>
      <c r="AN12" s="82"/>
      <c r="AO12" s="82"/>
      <c r="AP12" s="82"/>
      <c r="AQ12" s="82"/>
      <c r="AR12" s="82"/>
      <c r="AS12" s="82"/>
      <c r="AT12" s="82"/>
      <c r="AU12" s="82"/>
      <c r="AV12" s="82"/>
      <c r="AW12" s="82"/>
      <c r="AX12" s="83"/>
    </row>
    <row r="13" spans="1:50" ht="15" thickBot="1" x14ac:dyDescent="0.4">
      <c r="A13" s="5" t="s">
        <v>250</v>
      </c>
      <c r="B13" s="7">
        <v>2005</v>
      </c>
      <c r="C13" s="7">
        <v>1854</v>
      </c>
      <c r="AJ13" s="81"/>
      <c r="AK13" s="82"/>
      <c r="AL13" s="82"/>
      <c r="AM13" s="82"/>
      <c r="AN13" s="82"/>
      <c r="AO13" s="82"/>
      <c r="AP13" s="82"/>
      <c r="AQ13" s="82"/>
      <c r="AR13" s="82"/>
      <c r="AS13" s="82"/>
      <c r="AT13" s="82"/>
      <c r="AU13" s="82"/>
      <c r="AV13" s="82"/>
      <c r="AW13" s="82"/>
      <c r="AX13" s="83"/>
    </row>
    <row r="14" spans="1:50" ht="15" thickBot="1" x14ac:dyDescent="0.4">
      <c r="A14" s="5" t="s">
        <v>85</v>
      </c>
      <c r="B14" s="7">
        <v>23362</v>
      </c>
      <c r="C14" s="7">
        <v>25382</v>
      </c>
      <c r="E14" s="28" t="s">
        <v>229</v>
      </c>
      <c r="F14" s="29" t="str">
        <f>A52</f>
        <v>Revenues</v>
      </c>
      <c r="G14" s="29">
        <f t="shared" ref="G14:H14" si="6">B52</f>
        <v>46309</v>
      </c>
      <c r="H14" s="29">
        <f t="shared" si="6"/>
        <v>51362</v>
      </c>
      <c r="I14" s="29" t="s">
        <v>191</v>
      </c>
      <c r="J14" s="29"/>
      <c r="K14" s="30"/>
      <c r="N14" s="2" t="s">
        <v>244</v>
      </c>
      <c r="AJ14" s="81"/>
      <c r="AK14" s="82"/>
      <c r="AL14" s="82"/>
      <c r="AM14" s="82"/>
      <c r="AN14" s="82"/>
      <c r="AO14" s="82"/>
      <c r="AP14" s="82"/>
      <c r="AQ14" s="82"/>
      <c r="AR14" s="82"/>
      <c r="AS14" s="82"/>
      <c r="AT14" s="82"/>
      <c r="AU14" s="82"/>
      <c r="AV14" s="82"/>
      <c r="AW14" s="82"/>
      <c r="AX14" s="83"/>
    </row>
    <row r="15" spans="1:50" x14ac:dyDescent="0.35">
      <c r="A15" s="5" t="s">
        <v>251</v>
      </c>
      <c r="B15" s="7">
        <v>4828</v>
      </c>
      <c r="C15" s="7">
        <v>5000</v>
      </c>
      <c r="E15" s="34"/>
      <c r="F15" t="str">
        <f>A53</f>
        <v>Cost of sales</v>
      </c>
      <c r="G15">
        <f t="shared" ref="G15:H15" si="7">B53</f>
        <v>26519</v>
      </c>
      <c r="H15">
        <f t="shared" si="7"/>
        <v>28475</v>
      </c>
      <c r="I15" t="s">
        <v>192</v>
      </c>
      <c r="K15" s="35"/>
      <c r="M15" s="28" t="s">
        <v>227</v>
      </c>
      <c r="N15" s="29" t="str">
        <f>A52</f>
        <v>Revenues</v>
      </c>
      <c r="O15" s="29">
        <f t="shared" ref="O15:P15" si="8">B52</f>
        <v>46309</v>
      </c>
      <c r="P15" s="29">
        <f t="shared" si="8"/>
        <v>51362</v>
      </c>
      <c r="Q15" s="29"/>
      <c r="R15" s="29">
        <f>O15/O16</f>
        <v>1.2659996172667378</v>
      </c>
      <c r="S15" s="30">
        <f>P15/P16</f>
        <v>1.347730254526371</v>
      </c>
      <c r="V15" s="78" t="s">
        <v>295</v>
      </c>
      <c r="W15" s="87"/>
      <c r="X15" s="87"/>
      <c r="Y15" s="87"/>
      <c r="Z15" s="87"/>
      <c r="AA15" s="87"/>
      <c r="AB15" s="87"/>
      <c r="AC15" s="87"/>
      <c r="AD15" s="87"/>
      <c r="AE15" s="87"/>
      <c r="AF15" s="87"/>
      <c r="AG15" s="87"/>
      <c r="AH15" s="88"/>
      <c r="AJ15" s="81"/>
      <c r="AK15" s="82"/>
      <c r="AL15" s="82"/>
      <c r="AM15" s="82"/>
      <c r="AN15" s="82"/>
      <c r="AO15" s="82"/>
      <c r="AP15" s="82"/>
      <c r="AQ15" s="82"/>
      <c r="AR15" s="82"/>
      <c r="AS15" s="82"/>
      <c r="AT15" s="82"/>
      <c r="AU15" s="82"/>
      <c r="AV15" s="82"/>
      <c r="AW15" s="82"/>
      <c r="AX15" s="83"/>
    </row>
    <row r="16" spans="1:50" ht="15" thickBot="1" x14ac:dyDescent="0.4">
      <c r="A16" s="5" t="s">
        <v>252</v>
      </c>
      <c r="B16" s="7">
        <v>2712</v>
      </c>
      <c r="C16" s="7">
        <v>2718</v>
      </c>
      <c r="E16" s="34"/>
      <c r="F16" t="str">
        <f>A57</f>
        <v>Total selling and administrative expense</v>
      </c>
      <c r="G16">
        <f t="shared" ref="G16:H16" si="9">B57</f>
        <v>16088</v>
      </c>
      <c r="H16">
        <f t="shared" si="9"/>
        <v>16576</v>
      </c>
      <c r="I16" t="s">
        <v>199</v>
      </c>
      <c r="K16" s="35"/>
      <c r="M16" s="31"/>
      <c r="N16" s="32" t="str">
        <f>A21</f>
        <v>TOTAL ASSETS</v>
      </c>
      <c r="O16" s="32">
        <f t="shared" ref="O16:P16" si="10">B21</f>
        <v>36579</v>
      </c>
      <c r="P16" s="32">
        <f t="shared" si="10"/>
        <v>38110</v>
      </c>
      <c r="Q16" s="32"/>
      <c r="R16" s="32">
        <v>1</v>
      </c>
      <c r="S16" s="33">
        <v>1</v>
      </c>
      <c r="V16" s="89"/>
      <c r="W16" s="90"/>
      <c r="X16" s="90"/>
      <c r="Y16" s="90"/>
      <c r="Z16" s="90"/>
      <c r="AA16" s="90"/>
      <c r="AB16" s="90"/>
      <c r="AC16" s="90"/>
      <c r="AD16" s="90"/>
      <c r="AE16" s="90"/>
      <c r="AF16" s="90"/>
      <c r="AG16" s="90"/>
      <c r="AH16" s="91"/>
      <c r="AJ16" s="81"/>
      <c r="AK16" s="82"/>
      <c r="AL16" s="82"/>
      <c r="AM16" s="82"/>
      <c r="AN16" s="82"/>
      <c r="AO16" s="82"/>
      <c r="AP16" s="82"/>
      <c r="AQ16" s="82"/>
      <c r="AR16" s="82"/>
      <c r="AS16" s="82"/>
      <c r="AT16" s="82"/>
      <c r="AU16" s="82"/>
      <c r="AV16" s="82"/>
      <c r="AW16" s="82"/>
      <c r="AX16" s="83"/>
    </row>
    <row r="17" spans="1:50" ht="15" thickBot="1" x14ac:dyDescent="0.4">
      <c r="A17" s="5" t="s">
        <v>253</v>
      </c>
      <c r="B17" s="7">
        <v>259</v>
      </c>
      <c r="C17" s="7">
        <v>259</v>
      </c>
      <c r="E17" s="34"/>
      <c r="K17" s="35"/>
      <c r="V17" s="89"/>
      <c r="W17" s="90"/>
      <c r="X17" s="90"/>
      <c r="Y17" s="90"/>
      <c r="Z17" s="90"/>
      <c r="AA17" s="90"/>
      <c r="AB17" s="90"/>
      <c r="AC17" s="90"/>
      <c r="AD17" s="90"/>
      <c r="AE17" s="90"/>
      <c r="AF17" s="90"/>
      <c r="AG17" s="90"/>
      <c r="AH17" s="91"/>
      <c r="AJ17" s="81"/>
      <c r="AK17" s="82"/>
      <c r="AL17" s="82"/>
      <c r="AM17" s="82"/>
      <c r="AN17" s="82"/>
      <c r="AO17" s="82"/>
      <c r="AP17" s="82"/>
      <c r="AQ17" s="82"/>
      <c r="AR17" s="82"/>
      <c r="AS17" s="82"/>
      <c r="AT17" s="82"/>
      <c r="AU17" s="82"/>
      <c r="AV17" s="82"/>
      <c r="AW17" s="82"/>
      <c r="AX17" s="83"/>
    </row>
    <row r="18" spans="1:50" x14ac:dyDescent="0.35">
      <c r="A18" s="5" t="s">
        <v>127</v>
      </c>
      <c r="B18" s="7">
        <v>240</v>
      </c>
      <c r="C18" s="7">
        <v>240</v>
      </c>
      <c r="E18" s="34"/>
      <c r="F18" t="s">
        <v>300</v>
      </c>
      <c r="I18" t="s">
        <v>231</v>
      </c>
      <c r="J18">
        <f>G15/G$14</f>
        <v>0.57265326394437366</v>
      </c>
      <c r="K18" s="35">
        <f>H15/H$14</f>
        <v>0.55439819321677508</v>
      </c>
      <c r="M18" s="28" t="s">
        <v>229</v>
      </c>
      <c r="N18" s="29" t="str">
        <f>A52</f>
        <v>Revenues</v>
      </c>
      <c r="O18" s="29">
        <f t="shared" ref="O18:P18" si="11">B52</f>
        <v>46309</v>
      </c>
      <c r="P18" s="29">
        <f t="shared" si="11"/>
        <v>51362</v>
      </c>
      <c r="Q18" s="29" t="s">
        <v>191</v>
      </c>
      <c r="R18" s="29"/>
      <c r="S18" s="30"/>
      <c r="V18" s="89"/>
      <c r="W18" s="90"/>
      <c r="X18" s="90"/>
      <c r="Y18" s="90"/>
      <c r="Z18" s="90"/>
      <c r="AA18" s="90"/>
      <c r="AB18" s="90"/>
      <c r="AC18" s="90"/>
      <c r="AD18" s="90"/>
      <c r="AE18" s="90"/>
      <c r="AF18" s="90"/>
      <c r="AG18" s="90"/>
      <c r="AH18" s="91"/>
      <c r="AJ18" s="81"/>
      <c r="AK18" s="82"/>
      <c r="AL18" s="82"/>
      <c r="AM18" s="82"/>
      <c r="AN18" s="82"/>
      <c r="AO18" s="82"/>
      <c r="AP18" s="82"/>
      <c r="AQ18" s="82"/>
      <c r="AR18" s="82"/>
      <c r="AS18" s="82"/>
      <c r="AT18" s="82"/>
      <c r="AU18" s="82"/>
      <c r="AV18" s="82"/>
      <c r="AW18" s="82"/>
      <c r="AX18" s="83"/>
    </row>
    <row r="19" spans="1:50" ht="15" thickBot="1" x14ac:dyDescent="0.4">
      <c r="A19" s="5" t="s">
        <v>254</v>
      </c>
      <c r="B19" s="7">
        <v>5178</v>
      </c>
      <c r="C19" s="7">
        <v>4511</v>
      </c>
      <c r="E19" s="31"/>
      <c r="F19" s="32" t="s">
        <v>301</v>
      </c>
      <c r="G19" s="32"/>
      <c r="H19" s="32"/>
      <c r="I19" s="32" t="s">
        <v>232</v>
      </c>
      <c r="J19" s="32">
        <f>G16/G$14</f>
        <v>0.34740547193850008</v>
      </c>
      <c r="K19" s="33">
        <f>H16/H$14</f>
        <v>0.32272886569837622</v>
      </c>
      <c r="M19" s="34"/>
      <c r="N19" t="str">
        <f>A20</f>
        <v>TOTAL NCA</v>
      </c>
      <c r="O19">
        <f t="shared" ref="O19:P19" si="12">B20</f>
        <v>13217</v>
      </c>
      <c r="P19">
        <f t="shared" si="12"/>
        <v>12728</v>
      </c>
      <c r="Q19" t="s">
        <v>192</v>
      </c>
      <c r="S19" s="35"/>
      <c r="V19" s="89"/>
      <c r="W19" s="90"/>
      <c r="X19" s="90"/>
      <c r="Y19" s="90"/>
      <c r="Z19" s="90"/>
      <c r="AA19" s="90"/>
      <c r="AB19" s="90"/>
      <c r="AC19" s="90"/>
      <c r="AD19" s="90"/>
      <c r="AE19" s="90"/>
      <c r="AF19" s="90"/>
      <c r="AG19" s="90"/>
      <c r="AH19" s="91"/>
      <c r="AJ19" s="81"/>
      <c r="AK19" s="82"/>
      <c r="AL19" s="82"/>
      <c r="AM19" s="82"/>
      <c r="AN19" s="82"/>
      <c r="AO19" s="82"/>
      <c r="AP19" s="82"/>
      <c r="AQ19" s="82"/>
      <c r="AR19" s="82"/>
      <c r="AS19" s="82"/>
      <c r="AT19" s="82"/>
      <c r="AU19" s="82"/>
      <c r="AV19" s="82"/>
      <c r="AW19" s="82"/>
      <c r="AX19" s="83"/>
    </row>
    <row r="20" spans="1:50" x14ac:dyDescent="0.35">
      <c r="A20" s="18" t="s">
        <v>287</v>
      </c>
      <c r="B20" s="7">
        <f>SUM(B15:B19)</f>
        <v>13217</v>
      </c>
      <c r="C20" s="7">
        <f>SUM(C15:C19)</f>
        <v>12728</v>
      </c>
      <c r="M20" s="34"/>
      <c r="N20" t="str">
        <f>A15</f>
        <v>Property, plant and equipment, net</v>
      </c>
      <c r="O20">
        <f t="shared" ref="O20:P20" si="13">B15</f>
        <v>4828</v>
      </c>
      <c r="P20">
        <f t="shared" si="13"/>
        <v>5000</v>
      </c>
      <c r="Q20" t="s">
        <v>199</v>
      </c>
      <c r="S20" s="35"/>
      <c r="V20" s="89"/>
      <c r="W20" s="90"/>
      <c r="X20" s="90"/>
      <c r="Y20" s="90"/>
      <c r="Z20" s="90"/>
      <c r="AA20" s="90"/>
      <c r="AB20" s="90"/>
      <c r="AC20" s="90"/>
      <c r="AD20" s="90"/>
      <c r="AE20" s="90"/>
      <c r="AF20" s="90"/>
      <c r="AG20" s="90"/>
      <c r="AH20" s="91"/>
      <c r="AJ20" s="81"/>
      <c r="AK20" s="82"/>
      <c r="AL20" s="82"/>
      <c r="AM20" s="82"/>
      <c r="AN20" s="82"/>
      <c r="AO20" s="82"/>
      <c r="AP20" s="82"/>
      <c r="AQ20" s="82"/>
      <c r="AR20" s="82"/>
      <c r="AS20" s="82"/>
      <c r="AT20" s="82"/>
      <c r="AU20" s="82"/>
      <c r="AV20" s="82"/>
      <c r="AW20" s="82"/>
      <c r="AX20" s="83"/>
    </row>
    <row r="21" spans="1:50" x14ac:dyDescent="0.35">
      <c r="A21" s="5" t="s">
        <v>255</v>
      </c>
      <c r="B21" s="7">
        <v>36579</v>
      </c>
      <c r="C21" s="7">
        <v>38110</v>
      </c>
      <c r="M21" s="34"/>
      <c r="N21" t="str">
        <f>A19</f>
        <v>Deferred income taxes and other assets</v>
      </c>
      <c r="O21">
        <f t="shared" ref="O21:P21" si="14">B19</f>
        <v>5178</v>
      </c>
      <c r="P21">
        <f t="shared" si="14"/>
        <v>4511</v>
      </c>
      <c r="Q21" t="s">
        <v>230</v>
      </c>
      <c r="S21" s="35"/>
      <c r="V21" s="89"/>
      <c r="W21" s="90"/>
      <c r="X21" s="90"/>
      <c r="Y21" s="90"/>
      <c r="Z21" s="90"/>
      <c r="AA21" s="90"/>
      <c r="AB21" s="90"/>
      <c r="AC21" s="90"/>
      <c r="AD21" s="90"/>
      <c r="AE21" s="90"/>
      <c r="AF21" s="90"/>
      <c r="AG21" s="90"/>
      <c r="AH21" s="91"/>
      <c r="AJ21" s="81"/>
      <c r="AK21" s="82"/>
      <c r="AL21" s="82"/>
      <c r="AM21" s="82"/>
      <c r="AN21" s="82"/>
      <c r="AO21" s="82"/>
      <c r="AP21" s="82"/>
      <c r="AQ21" s="82"/>
      <c r="AR21" s="82"/>
      <c r="AS21" s="82"/>
      <c r="AT21" s="82"/>
      <c r="AU21" s="82"/>
      <c r="AV21" s="82"/>
      <c r="AW21" s="82"/>
      <c r="AX21" s="83"/>
    </row>
    <row r="22" spans="1:50" x14ac:dyDescent="0.35">
      <c r="A22" s="4" t="s">
        <v>129</v>
      </c>
      <c r="B22" s="5" t="s">
        <v>9</v>
      </c>
      <c r="C22" s="5" t="s">
        <v>9</v>
      </c>
      <c r="M22" s="34"/>
      <c r="N22" t="str">
        <f>A14</f>
        <v>Total current assets</v>
      </c>
      <c r="O22">
        <f t="shared" ref="O22:P22" si="15">B14</f>
        <v>23362</v>
      </c>
      <c r="P22">
        <f t="shared" si="15"/>
        <v>25382</v>
      </c>
      <c r="Q22" t="s">
        <v>233</v>
      </c>
      <c r="S22" s="35"/>
      <c r="V22" s="89"/>
      <c r="W22" s="90"/>
      <c r="X22" s="90"/>
      <c r="Y22" s="90"/>
      <c r="Z22" s="90"/>
      <c r="AA22" s="90"/>
      <c r="AB22" s="90"/>
      <c r="AC22" s="90"/>
      <c r="AD22" s="90"/>
      <c r="AE22" s="90"/>
      <c r="AF22" s="90"/>
      <c r="AG22" s="90"/>
      <c r="AH22" s="91"/>
      <c r="AJ22" s="81"/>
      <c r="AK22" s="82"/>
      <c r="AL22" s="82"/>
      <c r="AM22" s="82"/>
      <c r="AN22" s="82"/>
      <c r="AO22" s="82"/>
      <c r="AP22" s="82"/>
      <c r="AQ22" s="82"/>
      <c r="AR22" s="82"/>
      <c r="AS22" s="82"/>
      <c r="AT22" s="82"/>
      <c r="AU22" s="82"/>
      <c r="AV22" s="82"/>
      <c r="AW22" s="82"/>
      <c r="AX22" s="83"/>
    </row>
    <row r="23" spans="1:50" ht="14.5" customHeight="1" x14ac:dyDescent="0.35">
      <c r="A23" s="5" t="s">
        <v>256</v>
      </c>
      <c r="B23" s="7">
        <v>0</v>
      </c>
      <c r="C23" s="7">
        <v>1000</v>
      </c>
      <c r="M23" s="34"/>
      <c r="N23" s="23" t="str">
        <f>A9</f>
        <v>Cash and equivalents</v>
      </c>
      <c r="O23" s="23">
        <f t="shared" ref="O23:P23" si="16">B9</f>
        <v>7464</v>
      </c>
      <c r="P23" s="23">
        <f t="shared" si="16"/>
        <v>9860</v>
      </c>
      <c r="Q23" t="s">
        <v>237</v>
      </c>
      <c r="S23" s="35"/>
      <c r="V23" s="89"/>
      <c r="W23" s="90"/>
      <c r="X23" s="90"/>
      <c r="Y23" s="90"/>
      <c r="Z23" s="90"/>
      <c r="AA23" s="90"/>
      <c r="AB23" s="90"/>
      <c r="AC23" s="90"/>
      <c r="AD23" s="90"/>
      <c r="AE23" s="90"/>
      <c r="AF23" s="90"/>
      <c r="AG23" s="90"/>
      <c r="AH23" s="91"/>
      <c r="AJ23" s="81"/>
      <c r="AK23" s="82"/>
      <c r="AL23" s="82"/>
      <c r="AM23" s="82"/>
      <c r="AN23" s="82"/>
      <c r="AO23" s="82"/>
      <c r="AP23" s="82"/>
      <c r="AQ23" s="82"/>
      <c r="AR23" s="82"/>
      <c r="AS23" s="82"/>
      <c r="AT23" s="82"/>
      <c r="AU23" s="82"/>
      <c r="AV23" s="82"/>
      <c r="AW23" s="82"/>
      <c r="AX23" s="83"/>
    </row>
    <row r="24" spans="1:50" x14ac:dyDescent="0.35">
      <c r="A24" s="5" t="s">
        <v>257</v>
      </c>
      <c r="B24" s="7">
        <v>5</v>
      </c>
      <c r="C24" s="7">
        <v>6</v>
      </c>
      <c r="M24" s="34"/>
      <c r="N24" t="str">
        <f>A11</f>
        <v>Accounts receivable, net</v>
      </c>
      <c r="O24">
        <f t="shared" ref="O24:P24" si="17">B11</f>
        <v>4717</v>
      </c>
      <c r="P24">
        <f t="shared" si="17"/>
        <v>4427</v>
      </c>
      <c r="Q24" t="s">
        <v>238</v>
      </c>
      <c r="S24" s="35"/>
      <c r="V24" s="89"/>
      <c r="W24" s="90"/>
      <c r="X24" s="90"/>
      <c r="Y24" s="90"/>
      <c r="Z24" s="90"/>
      <c r="AA24" s="90"/>
      <c r="AB24" s="90"/>
      <c r="AC24" s="90"/>
      <c r="AD24" s="90"/>
      <c r="AE24" s="90"/>
      <c r="AF24" s="90"/>
      <c r="AG24" s="90"/>
      <c r="AH24" s="91"/>
      <c r="AJ24" s="81"/>
      <c r="AK24" s="82"/>
      <c r="AL24" s="82"/>
      <c r="AM24" s="82"/>
      <c r="AN24" s="82"/>
      <c r="AO24" s="82"/>
      <c r="AP24" s="82"/>
      <c r="AQ24" s="82"/>
      <c r="AR24" s="82"/>
      <c r="AS24" s="82"/>
      <c r="AT24" s="82"/>
      <c r="AU24" s="82"/>
      <c r="AV24" s="82"/>
      <c r="AW24" s="82"/>
      <c r="AX24" s="83"/>
    </row>
    <row r="25" spans="1:50" ht="15" thickBot="1" x14ac:dyDescent="0.4">
      <c r="A25" s="5" t="s">
        <v>19</v>
      </c>
      <c r="B25" s="7">
        <v>3479</v>
      </c>
      <c r="C25" s="7">
        <v>2851</v>
      </c>
      <c r="M25" s="34"/>
      <c r="N25" t="str">
        <f>A13</f>
        <v>Prepaid expenses and other current assets</v>
      </c>
      <c r="O25">
        <f t="shared" ref="O25:P25" si="18">B13</f>
        <v>2005</v>
      </c>
      <c r="P25">
        <f t="shared" si="18"/>
        <v>1854</v>
      </c>
      <c r="Q25" t="s">
        <v>288</v>
      </c>
      <c r="S25" s="35"/>
      <c r="V25" s="89"/>
      <c r="W25" s="90"/>
      <c r="X25" s="90"/>
      <c r="Y25" s="90"/>
      <c r="Z25" s="90"/>
      <c r="AA25" s="90"/>
      <c r="AB25" s="90"/>
      <c r="AC25" s="90"/>
      <c r="AD25" s="90"/>
      <c r="AE25" s="90"/>
      <c r="AF25" s="90"/>
      <c r="AG25" s="90"/>
      <c r="AH25" s="91"/>
      <c r="AJ25" s="81"/>
      <c r="AK25" s="82"/>
      <c r="AL25" s="82"/>
      <c r="AM25" s="82"/>
      <c r="AN25" s="82"/>
      <c r="AO25" s="82"/>
      <c r="AP25" s="82"/>
      <c r="AQ25" s="82"/>
      <c r="AR25" s="82"/>
      <c r="AS25" s="82"/>
      <c r="AT25" s="82"/>
      <c r="AU25" s="82"/>
      <c r="AV25" s="82"/>
      <c r="AW25" s="82"/>
      <c r="AX25" s="83"/>
    </row>
    <row r="26" spans="1:50" ht="15" thickBot="1" x14ac:dyDescent="0.4">
      <c r="A26" s="5" t="s">
        <v>258</v>
      </c>
      <c r="B26" s="7">
        <v>502</v>
      </c>
      <c r="C26" s="7">
        <v>477</v>
      </c>
      <c r="F26" s="39"/>
      <c r="M26" s="34"/>
      <c r="S26" s="35"/>
      <c r="V26" s="89"/>
      <c r="W26" s="90"/>
      <c r="X26" s="90"/>
      <c r="Y26" s="90"/>
      <c r="Z26" s="90"/>
      <c r="AA26" s="90"/>
      <c r="AB26" s="90"/>
      <c r="AC26" s="90"/>
      <c r="AD26" s="90"/>
      <c r="AE26" s="90"/>
      <c r="AF26" s="90"/>
      <c r="AG26" s="90"/>
      <c r="AH26" s="91"/>
      <c r="AJ26" s="81"/>
      <c r="AK26" s="82"/>
      <c r="AL26" s="82"/>
      <c r="AM26" s="82"/>
      <c r="AN26" s="82"/>
      <c r="AO26" s="82"/>
      <c r="AP26" s="82"/>
      <c r="AQ26" s="82"/>
      <c r="AR26" s="82"/>
      <c r="AS26" s="82"/>
      <c r="AT26" s="82"/>
      <c r="AU26" s="82"/>
      <c r="AV26" s="82"/>
      <c r="AW26" s="82"/>
      <c r="AX26" s="83"/>
    </row>
    <row r="27" spans="1:50" x14ac:dyDescent="0.35">
      <c r="A27" s="5" t="s">
        <v>20</v>
      </c>
      <c r="B27" s="7">
        <v>5911</v>
      </c>
      <c r="C27" s="7">
        <v>5725</v>
      </c>
      <c r="M27" s="34"/>
      <c r="N27" t="s">
        <v>289</v>
      </c>
      <c r="Q27" t="s">
        <v>193</v>
      </c>
      <c r="R27">
        <f>O$18/O19</f>
        <v>3.5037451766664143</v>
      </c>
      <c r="S27" s="35">
        <f>P$18/P19</f>
        <v>4.0353551225644253</v>
      </c>
      <c r="V27" s="89"/>
      <c r="W27" s="90"/>
      <c r="X27" s="90"/>
      <c r="Y27" s="90"/>
      <c r="Z27" s="90"/>
      <c r="AA27" s="90"/>
      <c r="AB27" s="90"/>
      <c r="AC27" s="90"/>
      <c r="AD27" s="90"/>
      <c r="AE27" s="90"/>
      <c r="AF27" s="90"/>
      <c r="AG27" s="90"/>
      <c r="AH27" s="91"/>
      <c r="AJ27" s="81"/>
      <c r="AK27" s="82"/>
      <c r="AL27" s="82"/>
      <c r="AM27" s="82"/>
      <c r="AN27" s="82"/>
      <c r="AO27" s="82"/>
      <c r="AP27" s="82"/>
      <c r="AQ27" s="82"/>
      <c r="AR27" s="82"/>
      <c r="AS27" s="82"/>
      <c r="AT27" s="82"/>
      <c r="AU27" s="82"/>
      <c r="AV27" s="82"/>
      <c r="AW27" s="82"/>
      <c r="AX27" s="83"/>
    </row>
    <row r="28" spans="1:50" x14ac:dyDescent="0.35">
      <c r="A28" s="5" t="s">
        <v>259</v>
      </c>
      <c r="B28" s="7">
        <v>669</v>
      </c>
      <c r="C28" s="7">
        <v>534</v>
      </c>
      <c r="M28" s="34"/>
      <c r="N28" t="s">
        <v>239</v>
      </c>
      <c r="Q28" t="s">
        <v>234</v>
      </c>
      <c r="R28">
        <f>O$18/O20</f>
        <v>9.5917564208782107</v>
      </c>
      <c r="S28" s="35">
        <f t="shared" ref="R28:S33" si="19">P$18/P20</f>
        <v>10.272399999999999</v>
      </c>
      <c r="V28" s="89"/>
      <c r="W28" s="90"/>
      <c r="X28" s="90"/>
      <c r="Y28" s="90"/>
      <c r="Z28" s="90"/>
      <c r="AA28" s="90"/>
      <c r="AB28" s="90"/>
      <c r="AC28" s="90"/>
      <c r="AD28" s="90"/>
      <c r="AE28" s="90"/>
      <c r="AF28" s="90"/>
      <c r="AG28" s="90"/>
      <c r="AH28" s="91"/>
      <c r="AJ28" s="81"/>
      <c r="AK28" s="82"/>
      <c r="AL28" s="82"/>
      <c r="AM28" s="82"/>
      <c r="AN28" s="82"/>
      <c r="AO28" s="82"/>
      <c r="AP28" s="82"/>
      <c r="AQ28" s="82"/>
      <c r="AR28" s="82"/>
      <c r="AS28" s="82"/>
      <c r="AT28" s="82"/>
      <c r="AU28" s="82"/>
      <c r="AV28" s="82"/>
      <c r="AW28" s="82"/>
      <c r="AX28" s="83"/>
    </row>
    <row r="29" spans="1:50" x14ac:dyDescent="0.35">
      <c r="A29" s="5" t="s">
        <v>97</v>
      </c>
      <c r="B29" s="7">
        <v>10566</v>
      </c>
      <c r="C29" s="7">
        <v>10593</v>
      </c>
      <c r="M29" s="34"/>
      <c r="N29" t="s">
        <v>290</v>
      </c>
      <c r="Q29" t="s">
        <v>235</v>
      </c>
      <c r="R29">
        <f t="shared" si="19"/>
        <v>8.9434144457319427</v>
      </c>
      <c r="S29" s="35">
        <f t="shared" si="19"/>
        <v>11.385945466637109</v>
      </c>
      <c r="V29" s="89"/>
      <c r="W29" s="90"/>
      <c r="X29" s="90"/>
      <c r="Y29" s="90"/>
      <c r="Z29" s="90"/>
      <c r="AA29" s="90"/>
      <c r="AB29" s="90"/>
      <c r="AC29" s="90"/>
      <c r="AD29" s="90"/>
      <c r="AE29" s="90"/>
      <c r="AF29" s="90"/>
      <c r="AG29" s="90"/>
      <c r="AH29" s="91"/>
      <c r="AJ29" s="81"/>
      <c r="AK29" s="82"/>
      <c r="AL29" s="82"/>
      <c r="AM29" s="82"/>
      <c r="AN29" s="82"/>
      <c r="AO29" s="82"/>
      <c r="AP29" s="82"/>
      <c r="AQ29" s="82"/>
      <c r="AR29" s="82"/>
      <c r="AS29" s="82"/>
      <c r="AT29" s="82"/>
      <c r="AU29" s="82"/>
      <c r="AV29" s="82"/>
      <c r="AW29" s="82"/>
      <c r="AX29" s="83"/>
    </row>
    <row r="30" spans="1:50" ht="15" thickBot="1" x14ac:dyDescent="0.4">
      <c r="A30" s="5" t="s">
        <v>134</v>
      </c>
      <c r="B30" s="7">
        <v>7961</v>
      </c>
      <c r="C30" s="7">
        <v>7903</v>
      </c>
      <c r="M30" s="34"/>
      <c r="N30" t="s">
        <v>240</v>
      </c>
      <c r="Q30" t="s">
        <v>236</v>
      </c>
      <c r="R30">
        <f>O$18/O22</f>
        <v>1.9822361099220958</v>
      </c>
      <c r="S30" s="35">
        <f t="shared" si="19"/>
        <v>2.0235600031518399</v>
      </c>
      <c r="V30" s="92"/>
      <c r="W30" s="93"/>
      <c r="X30" s="93"/>
      <c r="Y30" s="93"/>
      <c r="Z30" s="93"/>
      <c r="AA30" s="93"/>
      <c r="AB30" s="93"/>
      <c r="AC30" s="93"/>
      <c r="AD30" s="93"/>
      <c r="AE30" s="93"/>
      <c r="AF30" s="93"/>
      <c r="AG30" s="93"/>
      <c r="AH30" s="94"/>
      <c r="AJ30" s="84"/>
      <c r="AK30" s="85"/>
      <c r="AL30" s="85"/>
      <c r="AM30" s="85"/>
      <c r="AN30" s="85"/>
      <c r="AO30" s="85"/>
      <c r="AP30" s="85"/>
      <c r="AQ30" s="85"/>
      <c r="AR30" s="85"/>
      <c r="AS30" s="85"/>
      <c r="AT30" s="85"/>
      <c r="AU30" s="85"/>
      <c r="AV30" s="85"/>
      <c r="AW30" s="85"/>
      <c r="AX30" s="86"/>
    </row>
    <row r="31" spans="1:50" x14ac:dyDescent="0.35">
      <c r="A31" s="5" t="s">
        <v>136</v>
      </c>
      <c r="B31" s="7">
        <v>2550</v>
      </c>
      <c r="C31" s="7">
        <v>2566</v>
      </c>
      <c r="M31" s="34"/>
      <c r="N31" t="s">
        <v>293</v>
      </c>
      <c r="Q31" t="s">
        <v>242</v>
      </c>
      <c r="R31">
        <f>O$18/O23</f>
        <v>6.204314040728832</v>
      </c>
      <c r="S31" s="35">
        <f>P$18/P23</f>
        <v>5.2091277890466534</v>
      </c>
    </row>
    <row r="32" spans="1:50" ht="15" thickBot="1" x14ac:dyDescent="0.4">
      <c r="A32" s="5" t="s">
        <v>260</v>
      </c>
      <c r="B32" s="7">
        <v>2289</v>
      </c>
      <c r="C32" s="7">
        <v>2618</v>
      </c>
      <c r="M32" s="34"/>
      <c r="N32" t="s">
        <v>292</v>
      </c>
      <c r="Q32" t="s">
        <v>243</v>
      </c>
      <c r="R32">
        <f t="shared" si="19"/>
        <v>9.8174687301250803</v>
      </c>
      <c r="S32" s="35">
        <f t="shared" si="19"/>
        <v>11.601987802123334</v>
      </c>
    </row>
    <row r="33" spans="1:50" ht="15" thickBot="1" x14ac:dyDescent="0.4">
      <c r="A33" s="5" t="s">
        <v>261</v>
      </c>
      <c r="B33" s="5" t="s">
        <v>139</v>
      </c>
      <c r="C33" s="5" t="s">
        <v>139</v>
      </c>
      <c r="M33" s="31"/>
      <c r="N33" s="32" t="s">
        <v>241</v>
      </c>
      <c r="O33" s="32"/>
      <c r="P33" s="32"/>
      <c r="Q33" s="32" t="s">
        <v>291</v>
      </c>
      <c r="R33" s="32">
        <f t="shared" si="19"/>
        <v>23.096758104738154</v>
      </c>
      <c r="S33" s="33">
        <f t="shared" si="19"/>
        <v>27.70334412081985</v>
      </c>
      <c r="V33" s="78" t="s">
        <v>296</v>
      </c>
      <c r="W33" s="87"/>
      <c r="X33" s="87"/>
      <c r="Y33" s="87"/>
      <c r="Z33" s="87"/>
      <c r="AA33" s="87"/>
      <c r="AB33" s="87"/>
      <c r="AC33" s="87"/>
      <c r="AD33" s="87"/>
      <c r="AE33" s="87"/>
      <c r="AF33" s="87"/>
      <c r="AG33" s="87"/>
      <c r="AH33" s="88"/>
    </row>
    <row r="34" spans="1:50" x14ac:dyDescent="0.35">
      <c r="A34" s="5" t="s">
        <v>262</v>
      </c>
      <c r="B34" s="7">
        <v>0</v>
      </c>
      <c r="C34" s="7">
        <v>0</v>
      </c>
      <c r="V34" s="89"/>
      <c r="W34" s="90"/>
      <c r="X34" s="90"/>
      <c r="Y34" s="90"/>
      <c r="Z34" s="90"/>
      <c r="AA34" s="90"/>
      <c r="AB34" s="90"/>
      <c r="AC34" s="90"/>
      <c r="AD34" s="90"/>
      <c r="AE34" s="90"/>
      <c r="AF34" s="90"/>
      <c r="AG34" s="90"/>
      <c r="AH34" s="91"/>
      <c r="AJ34" s="78" t="s">
        <v>298</v>
      </c>
      <c r="AK34" s="79"/>
      <c r="AL34" s="79"/>
      <c r="AM34" s="79"/>
      <c r="AN34" s="79"/>
      <c r="AO34" s="79"/>
      <c r="AP34" s="79"/>
      <c r="AQ34" s="79"/>
      <c r="AR34" s="79"/>
      <c r="AS34" s="79"/>
      <c r="AT34" s="79"/>
      <c r="AU34" s="79"/>
      <c r="AV34" s="79"/>
      <c r="AW34" s="79"/>
      <c r="AX34" s="80"/>
    </row>
    <row r="35" spans="1:50" x14ac:dyDescent="0.35">
      <c r="A35" s="4" t="s">
        <v>263</v>
      </c>
      <c r="B35" s="5" t="s">
        <v>9</v>
      </c>
      <c r="C35" s="5" t="s">
        <v>9</v>
      </c>
      <c r="V35" s="89"/>
      <c r="W35" s="90"/>
      <c r="X35" s="90"/>
      <c r="Y35" s="90"/>
      <c r="Z35" s="90"/>
      <c r="AA35" s="90"/>
      <c r="AB35" s="90"/>
      <c r="AC35" s="90"/>
      <c r="AD35" s="90"/>
      <c r="AE35" s="90"/>
      <c r="AF35" s="90"/>
      <c r="AG35" s="90"/>
      <c r="AH35" s="91"/>
      <c r="AJ35" s="81"/>
      <c r="AK35" s="82"/>
      <c r="AL35" s="82"/>
      <c r="AM35" s="82"/>
      <c r="AN35" s="82"/>
      <c r="AO35" s="82"/>
      <c r="AP35" s="82"/>
      <c r="AQ35" s="82"/>
      <c r="AR35" s="82"/>
      <c r="AS35" s="82"/>
      <c r="AT35" s="82"/>
      <c r="AU35" s="82"/>
      <c r="AV35" s="82"/>
      <c r="AW35" s="82"/>
      <c r="AX35" s="83"/>
    </row>
    <row r="36" spans="1:50" x14ac:dyDescent="0.35">
      <c r="A36" s="5" t="s">
        <v>264</v>
      </c>
      <c r="B36" s="7">
        <v>14195</v>
      </c>
      <c r="C36" s="7">
        <v>13409</v>
      </c>
      <c r="V36" s="89"/>
      <c r="W36" s="90"/>
      <c r="X36" s="90"/>
      <c r="Y36" s="90"/>
      <c r="Z36" s="90"/>
      <c r="AA36" s="90"/>
      <c r="AB36" s="90"/>
      <c r="AC36" s="90"/>
      <c r="AD36" s="90"/>
      <c r="AE36" s="90"/>
      <c r="AF36" s="90"/>
      <c r="AG36" s="90"/>
      <c r="AH36" s="91"/>
      <c r="AJ36" s="81"/>
      <c r="AK36" s="82"/>
      <c r="AL36" s="82"/>
      <c r="AM36" s="82"/>
      <c r="AN36" s="82"/>
      <c r="AO36" s="82"/>
      <c r="AP36" s="82"/>
      <c r="AQ36" s="82"/>
      <c r="AR36" s="82"/>
      <c r="AS36" s="82"/>
      <c r="AT36" s="82"/>
      <c r="AU36" s="82"/>
      <c r="AV36" s="82"/>
      <c r="AW36" s="82"/>
      <c r="AX36" s="83"/>
    </row>
    <row r="37" spans="1:50" x14ac:dyDescent="0.35">
      <c r="A37" s="5" t="s">
        <v>143</v>
      </c>
      <c r="B37" s="7">
        <v>-258</v>
      </c>
      <c r="C37" s="7">
        <v>53</v>
      </c>
      <c r="V37" s="89"/>
      <c r="W37" s="90"/>
      <c r="X37" s="90"/>
      <c r="Y37" s="90"/>
      <c r="Z37" s="90"/>
      <c r="AA37" s="90"/>
      <c r="AB37" s="90"/>
      <c r="AC37" s="90"/>
      <c r="AD37" s="90"/>
      <c r="AE37" s="90"/>
      <c r="AF37" s="90"/>
      <c r="AG37" s="90"/>
      <c r="AH37" s="91"/>
      <c r="AJ37" s="81"/>
      <c r="AK37" s="82"/>
      <c r="AL37" s="82"/>
      <c r="AM37" s="82"/>
      <c r="AN37" s="82"/>
      <c r="AO37" s="82"/>
      <c r="AP37" s="82"/>
      <c r="AQ37" s="82"/>
      <c r="AR37" s="82"/>
      <c r="AS37" s="82"/>
      <c r="AT37" s="82"/>
      <c r="AU37" s="82"/>
      <c r="AV37" s="82"/>
      <c r="AW37" s="82"/>
      <c r="AX37" s="83"/>
    </row>
    <row r="38" spans="1:50" x14ac:dyDescent="0.35">
      <c r="A38" s="5" t="s">
        <v>265</v>
      </c>
      <c r="B38" s="7">
        <v>-727</v>
      </c>
      <c r="C38" s="7">
        <v>965</v>
      </c>
      <c r="E38" s="21"/>
      <c r="F38" s="21"/>
      <c r="V38" s="89"/>
      <c r="W38" s="90"/>
      <c r="X38" s="90"/>
      <c r="Y38" s="90"/>
      <c r="Z38" s="90"/>
      <c r="AA38" s="90"/>
      <c r="AB38" s="90"/>
      <c r="AC38" s="90"/>
      <c r="AD38" s="90"/>
      <c r="AE38" s="90"/>
      <c r="AF38" s="90"/>
      <c r="AG38" s="90"/>
      <c r="AH38" s="91"/>
      <c r="AJ38" s="81"/>
      <c r="AK38" s="82"/>
      <c r="AL38" s="82"/>
      <c r="AM38" s="82"/>
      <c r="AN38" s="82"/>
      <c r="AO38" s="82"/>
      <c r="AP38" s="82"/>
      <c r="AQ38" s="82"/>
      <c r="AR38" s="82"/>
      <c r="AS38" s="82"/>
      <c r="AT38" s="82"/>
      <c r="AU38" s="82"/>
      <c r="AV38" s="82"/>
      <c r="AW38" s="82"/>
      <c r="AX38" s="83"/>
    </row>
    <row r="39" spans="1:50" x14ac:dyDescent="0.35">
      <c r="A39" s="5" t="s">
        <v>266</v>
      </c>
      <c r="B39" s="7">
        <v>13213</v>
      </c>
      <c r="C39" s="7">
        <v>14430</v>
      </c>
      <c r="E39" s="21"/>
      <c r="F39" s="21"/>
      <c r="V39" s="89"/>
      <c r="W39" s="90"/>
      <c r="X39" s="90"/>
      <c r="Y39" s="90"/>
      <c r="Z39" s="90"/>
      <c r="AA39" s="90"/>
      <c r="AB39" s="90"/>
      <c r="AC39" s="90"/>
      <c r="AD39" s="90"/>
      <c r="AE39" s="90"/>
      <c r="AF39" s="90"/>
      <c r="AG39" s="90"/>
      <c r="AH39" s="91"/>
      <c r="AJ39" s="81"/>
      <c r="AK39" s="82"/>
      <c r="AL39" s="82"/>
      <c r="AM39" s="82"/>
      <c r="AN39" s="82"/>
      <c r="AO39" s="82"/>
      <c r="AP39" s="82"/>
      <c r="AQ39" s="82"/>
      <c r="AR39" s="82"/>
      <c r="AS39" s="82"/>
      <c r="AT39" s="82"/>
      <c r="AU39" s="82"/>
      <c r="AV39" s="82"/>
      <c r="AW39" s="82"/>
      <c r="AX39" s="83"/>
    </row>
    <row r="40" spans="1:50" x14ac:dyDescent="0.35">
      <c r="A40" s="5" t="s">
        <v>267</v>
      </c>
      <c r="B40" s="7">
        <v>36579</v>
      </c>
      <c r="C40" s="7">
        <v>38110</v>
      </c>
      <c r="V40" s="89"/>
      <c r="W40" s="90"/>
      <c r="X40" s="90"/>
      <c r="Y40" s="90"/>
      <c r="Z40" s="90"/>
      <c r="AA40" s="90"/>
      <c r="AB40" s="90"/>
      <c r="AC40" s="90"/>
      <c r="AD40" s="90"/>
      <c r="AE40" s="90"/>
      <c r="AF40" s="90"/>
      <c r="AG40" s="90"/>
      <c r="AH40" s="91"/>
      <c r="AJ40" s="81"/>
      <c r="AK40" s="82"/>
      <c r="AL40" s="82"/>
      <c r="AM40" s="82"/>
      <c r="AN40" s="82"/>
      <c r="AO40" s="82"/>
      <c r="AP40" s="82"/>
      <c r="AQ40" s="82"/>
      <c r="AR40" s="82"/>
      <c r="AS40" s="82"/>
      <c r="AT40" s="82"/>
      <c r="AU40" s="82"/>
      <c r="AV40" s="82"/>
      <c r="AW40" s="82"/>
      <c r="AX40" s="83"/>
    </row>
    <row r="41" spans="1:50" x14ac:dyDescent="0.35">
      <c r="A41" s="5" t="s">
        <v>268</v>
      </c>
      <c r="B41" s="5" t="s">
        <v>9</v>
      </c>
      <c r="C41" s="5" t="s">
        <v>9</v>
      </c>
      <c r="V41" s="89"/>
      <c r="W41" s="90"/>
      <c r="X41" s="90"/>
      <c r="Y41" s="90"/>
      <c r="Z41" s="90"/>
      <c r="AA41" s="90"/>
      <c r="AB41" s="90"/>
      <c r="AC41" s="90"/>
      <c r="AD41" s="90"/>
      <c r="AE41" s="90"/>
      <c r="AF41" s="90"/>
      <c r="AG41" s="90"/>
      <c r="AH41" s="91"/>
      <c r="AJ41" s="81"/>
      <c r="AK41" s="82"/>
      <c r="AL41" s="82"/>
      <c r="AM41" s="82"/>
      <c r="AN41" s="82"/>
      <c r="AO41" s="82"/>
      <c r="AP41" s="82"/>
      <c r="AQ41" s="82"/>
      <c r="AR41" s="82"/>
      <c r="AS41" s="82"/>
      <c r="AT41" s="82"/>
      <c r="AU41" s="82"/>
      <c r="AV41" s="82"/>
      <c r="AW41" s="82"/>
      <c r="AX41" s="83"/>
    </row>
    <row r="42" spans="1:50" x14ac:dyDescent="0.35">
      <c r="A42" s="4" t="s">
        <v>263</v>
      </c>
      <c r="B42" s="5" t="s">
        <v>9</v>
      </c>
      <c r="C42" s="5" t="s">
        <v>9</v>
      </c>
      <c r="V42" s="89"/>
      <c r="W42" s="90"/>
      <c r="X42" s="90"/>
      <c r="Y42" s="90"/>
      <c r="Z42" s="90"/>
      <c r="AA42" s="90"/>
      <c r="AB42" s="90"/>
      <c r="AC42" s="90"/>
      <c r="AD42" s="90"/>
      <c r="AE42" s="90"/>
      <c r="AF42" s="90"/>
      <c r="AG42" s="90"/>
      <c r="AH42" s="91"/>
      <c r="AJ42" s="81"/>
      <c r="AK42" s="82"/>
      <c r="AL42" s="82"/>
      <c r="AM42" s="82"/>
      <c r="AN42" s="82"/>
      <c r="AO42" s="82"/>
      <c r="AP42" s="82"/>
      <c r="AQ42" s="82"/>
      <c r="AR42" s="82"/>
      <c r="AS42" s="82"/>
      <c r="AT42" s="82"/>
      <c r="AU42" s="82"/>
      <c r="AV42" s="82"/>
      <c r="AW42" s="82"/>
      <c r="AX42" s="83"/>
    </row>
    <row r="43" spans="1:50" x14ac:dyDescent="0.35">
      <c r="A43" s="5" t="s">
        <v>269</v>
      </c>
      <c r="B43" s="7">
        <v>0</v>
      </c>
      <c r="C43" s="7">
        <v>0</v>
      </c>
      <c r="V43" s="89"/>
      <c r="W43" s="90"/>
      <c r="X43" s="90"/>
      <c r="Y43" s="90"/>
      <c r="Z43" s="90"/>
      <c r="AA43" s="90"/>
      <c r="AB43" s="90"/>
      <c r="AC43" s="90"/>
      <c r="AD43" s="90"/>
      <c r="AE43" s="90"/>
      <c r="AF43" s="90"/>
      <c r="AG43" s="90"/>
      <c r="AH43" s="91"/>
      <c r="AJ43" s="81"/>
      <c r="AK43" s="82"/>
      <c r="AL43" s="82"/>
      <c r="AM43" s="82"/>
      <c r="AN43" s="82"/>
      <c r="AO43" s="82"/>
      <c r="AP43" s="82"/>
      <c r="AQ43" s="82"/>
      <c r="AR43" s="82"/>
      <c r="AS43" s="82"/>
      <c r="AT43" s="82"/>
      <c r="AU43" s="82"/>
      <c r="AV43" s="82"/>
      <c r="AW43" s="82"/>
      <c r="AX43" s="83"/>
    </row>
    <row r="44" spans="1:50" x14ac:dyDescent="0.35">
      <c r="A44" s="5" t="s">
        <v>270</v>
      </c>
      <c r="B44" s="5" t="s">
        <v>9</v>
      </c>
      <c r="C44" s="5" t="s">
        <v>9</v>
      </c>
      <c r="V44" s="89"/>
      <c r="W44" s="90"/>
      <c r="X44" s="90"/>
      <c r="Y44" s="90"/>
      <c r="Z44" s="90"/>
      <c r="AA44" s="90"/>
      <c r="AB44" s="90"/>
      <c r="AC44" s="90"/>
      <c r="AD44" s="90"/>
      <c r="AE44" s="90"/>
      <c r="AF44" s="90"/>
      <c r="AG44" s="90"/>
      <c r="AH44" s="91"/>
      <c r="AJ44" s="81"/>
      <c r="AK44" s="82"/>
      <c r="AL44" s="82"/>
      <c r="AM44" s="82"/>
      <c r="AN44" s="82"/>
      <c r="AO44" s="82"/>
      <c r="AP44" s="82"/>
      <c r="AQ44" s="82"/>
      <c r="AR44" s="82"/>
      <c r="AS44" s="82"/>
      <c r="AT44" s="82"/>
      <c r="AU44" s="82"/>
      <c r="AV44" s="82"/>
      <c r="AW44" s="82"/>
      <c r="AX44" s="83"/>
    </row>
    <row r="45" spans="1:50" x14ac:dyDescent="0.35">
      <c r="A45" s="4" t="s">
        <v>263</v>
      </c>
      <c r="B45" s="5" t="s">
        <v>9</v>
      </c>
      <c r="C45" s="5" t="s">
        <v>9</v>
      </c>
      <c r="V45" s="89"/>
      <c r="W45" s="90"/>
      <c r="X45" s="90"/>
      <c r="Y45" s="90"/>
      <c r="Z45" s="90"/>
      <c r="AA45" s="90"/>
      <c r="AB45" s="90"/>
      <c r="AC45" s="90"/>
      <c r="AD45" s="90"/>
      <c r="AE45" s="90"/>
      <c r="AF45" s="90"/>
      <c r="AG45" s="90"/>
      <c r="AH45" s="91"/>
      <c r="AJ45" s="81"/>
      <c r="AK45" s="82"/>
      <c r="AL45" s="82"/>
      <c r="AM45" s="82"/>
      <c r="AN45" s="82"/>
      <c r="AO45" s="82"/>
      <c r="AP45" s="82"/>
      <c r="AQ45" s="82"/>
      <c r="AR45" s="82"/>
      <c r="AS45" s="82"/>
      <c r="AT45" s="82"/>
      <c r="AU45" s="82"/>
      <c r="AV45" s="82"/>
      <c r="AW45" s="82"/>
      <c r="AX45" s="83"/>
    </row>
    <row r="46" spans="1:50" x14ac:dyDescent="0.35">
      <c r="A46" s="5" t="s">
        <v>269</v>
      </c>
      <c r="B46" s="6">
        <v>3</v>
      </c>
      <c r="C46" s="6">
        <v>3</v>
      </c>
      <c r="V46" s="89"/>
      <c r="W46" s="90"/>
      <c r="X46" s="90"/>
      <c r="Y46" s="90"/>
      <c r="Z46" s="90"/>
      <c r="AA46" s="90"/>
      <c r="AB46" s="90"/>
      <c r="AC46" s="90"/>
      <c r="AD46" s="90"/>
      <c r="AE46" s="90"/>
      <c r="AF46" s="90"/>
      <c r="AG46" s="90"/>
      <c r="AH46" s="91"/>
      <c r="AJ46" s="81"/>
      <c r="AK46" s="82"/>
      <c r="AL46" s="82"/>
      <c r="AM46" s="82"/>
      <c r="AN46" s="82"/>
      <c r="AO46" s="82"/>
      <c r="AP46" s="82"/>
      <c r="AQ46" s="82"/>
      <c r="AR46" s="82"/>
      <c r="AS46" s="82"/>
      <c r="AT46" s="82"/>
      <c r="AU46" s="82"/>
      <c r="AV46" s="82"/>
      <c r="AW46" s="82"/>
      <c r="AX46" s="83"/>
    </row>
    <row r="47" spans="1:50" x14ac:dyDescent="0.35">
      <c r="A47" s="5"/>
      <c r="B47" s="7"/>
      <c r="C47" s="7"/>
      <c r="V47" s="89"/>
      <c r="W47" s="90"/>
      <c r="X47" s="90"/>
      <c r="Y47" s="90"/>
      <c r="Z47" s="90"/>
      <c r="AA47" s="90"/>
      <c r="AB47" s="90"/>
      <c r="AC47" s="90"/>
      <c r="AD47" s="90"/>
      <c r="AE47" s="90"/>
      <c r="AF47" s="90"/>
      <c r="AG47" s="90"/>
      <c r="AH47" s="91"/>
      <c r="AJ47" s="81"/>
      <c r="AK47" s="82"/>
      <c r="AL47" s="82"/>
      <c r="AM47" s="82"/>
      <c r="AN47" s="82"/>
      <c r="AO47" s="82"/>
      <c r="AP47" s="82"/>
      <c r="AQ47" s="82"/>
      <c r="AR47" s="82"/>
      <c r="AS47" s="82"/>
      <c r="AT47" s="82"/>
      <c r="AU47" s="82"/>
      <c r="AV47" s="82"/>
      <c r="AW47" s="82"/>
      <c r="AX47" s="83"/>
    </row>
    <row r="48" spans="1:50" ht="14.5" customHeight="1" thickBot="1" x14ac:dyDescent="0.4">
      <c r="A48" s="5"/>
      <c r="B48" s="5"/>
      <c r="C48" s="5"/>
      <c r="V48" s="89"/>
      <c r="W48" s="90"/>
      <c r="X48" s="90"/>
      <c r="Y48" s="90"/>
      <c r="Z48" s="90"/>
      <c r="AA48" s="90"/>
      <c r="AB48" s="90"/>
      <c r="AC48" s="90"/>
      <c r="AD48" s="90"/>
      <c r="AE48" s="90"/>
      <c r="AF48" s="90"/>
      <c r="AG48" s="90"/>
      <c r="AH48" s="91"/>
      <c r="AJ48" s="84"/>
      <c r="AK48" s="85"/>
      <c r="AL48" s="85"/>
      <c r="AM48" s="85"/>
      <c r="AN48" s="85"/>
      <c r="AO48" s="85"/>
      <c r="AP48" s="85"/>
      <c r="AQ48" s="85"/>
      <c r="AR48" s="85"/>
      <c r="AS48" s="85"/>
      <c r="AT48" s="85"/>
      <c r="AU48" s="85"/>
      <c r="AV48" s="85"/>
      <c r="AW48" s="85"/>
      <c r="AX48" s="86"/>
    </row>
    <row r="49" spans="1:50" ht="29" x14ac:dyDescent="0.35">
      <c r="A49" s="41" t="s">
        <v>271</v>
      </c>
      <c r="B49" s="3" t="s">
        <v>4</v>
      </c>
      <c r="D49" s="3" t="s">
        <v>272</v>
      </c>
      <c r="V49" s="89"/>
      <c r="W49" s="90"/>
      <c r="X49" s="90"/>
      <c r="Y49" s="90"/>
      <c r="Z49" s="90"/>
      <c r="AA49" s="90"/>
      <c r="AB49" s="90"/>
      <c r="AC49" s="90"/>
      <c r="AD49" s="90"/>
      <c r="AE49" s="90"/>
      <c r="AF49" s="90"/>
      <c r="AG49" s="90"/>
      <c r="AH49" s="91"/>
    </row>
    <row r="50" spans="1:50" x14ac:dyDescent="0.35">
      <c r="A50" s="42"/>
      <c r="B50" s="3" t="s">
        <v>246</v>
      </c>
      <c r="C50" s="3" t="s">
        <v>247</v>
      </c>
      <c r="D50" s="38" t="s">
        <v>273</v>
      </c>
      <c r="V50" s="89"/>
      <c r="W50" s="90"/>
      <c r="X50" s="90"/>
      <c r="Y50" s="90"/>
      <c r="Z50" s="90"/>
      <c r="AA50" s="90"/>
      <c r="AB50" s="90"/>
      <c r="AC50" s="90"/>
      <c r="AD50" s="90"/>
      <c r="AE50" s="90"/>
      <c r="AF50" s="90"/>
      <c r="AG50" s="90"/>
      <c r="AH50" s="91"/>
    </row>
    <row r="51" spans="1:50" ht="15" thickBot="1" x14ac:dyDescent="0.4">
      <c r="A51" s="4" t="s">
        <v>147</v>
      </c>
      <c r="B51" s="38" t="s">
        <v>273</v>
      </c>
      <c r="C51" s="38" t="s">
        <v>273</v>
      </c>
      <c r="D51" s="6">
        <v>51217</v>
      </c>
      <c r="V51" s="89"/>
      <c r="W51" s="90"/>
      <c r="X51" s="90"/>
      <c r="Y51" s="90"/>
      <c r="Z51" s="90"/>
      <c r="AA51" s="90"/>
      <c r="AB51" s="90"/>
      <c r="AC51" s="90"/>
      <c r="AD51" s="90"/>
      <c r="AE51" s="90"/>
      <c r="AF51" s="90"/>
      <c r="AG51" s="90"/>
      <c r="AH51" s="91"/>
    </row>
    <row r="52" spans="1:50" x14ac:dyDescent="0.35">
      <c r="A52" s="5" t="s">
        <v>53</v>
      </c>
      <c r="B52" s="6">
        <v>46309</v>
      </c>
      <c r="C52" s="6">
        <v>51362</v>
      </c>
      <c r="D52" s="7">
        <v>28925</v>
      </c>
      <c r="V52" s="89"/>
      <c r="W52" s="90"/>
      <c r="X52" s="90"/>
      <c r="Y52" s="90"/>
      <c r="Z52" s="90"/>
      <c r="AA52" s="90"/>
      <c r="AB52" s="90"/>
      <c r="AC52" s="90"/>
      <c r="AD52" s="90"/>
      <c r="AE52" s="90"/>
      <c r="AF52" s="90"/>
      <c r="AG52" s="90"/>
      <c r="AH52" s="91"/>
      <c r="AJ52" s="78" t="s">
        <v>299</v>
      </c>
      <c r="AK52" s="87"/>
      <c r="AL52" s="87"/>
      <c r="AM52" s="87"/>
      <c r="AN52" s="87"/>
      <c r="AO52" s="87"/>
      <c r="AP52" s="87"/>
      <c r="AQ52" s="87"/>
      <c r="AR52" s="87"/>
      <c r="AS52" s="87"/>
      <c r="AT52" s="87"/>
      <c r="AU52" s="87"/>
      <c r="AV52" s="87"/>
      <c r="AW52" s="87"/>
      <c r="AX52" s="88"/>
    </row>
    <row r="53" spans="1:50" x14ac:dyDescent="0.35">
      <c r="A53" s="5" t="s">
        <v>56</v>
      </c>
      <c r="B53" s="7">
        <v>26519</v>
      </c>
      <c r="C53" s="7">
        <v>28475</v>
      </c>
      <c r="D53" s="7">
        <v>22292</v>
      </c>
      <c r="V53" s="89"/>
      <c r="W53" s="90"/>
      <c r="X53" s="90"/>
      <c r="Y53" s="90"/>
      <c r="Z53" s="90"/>
      <c r="AA53" s="90"/>
      <c r="AB53" s="90"/>
      <c r="AC53" s="90"/>
      <c r="AD53" s="90"/>
      <c r="AE53" s="90"/>
      <c r="AF53" s="90"/>
      <c r="AG53" s="90"/>
      <c r="AH53" s="91"/>
      <c r="AJ53" s="89"/>
      <c r="AK53" s="90"/>
      <c r="AL53" s="90"/>
      <c r="AM53" s="90"/>
      <c r="AN53" s="90"/>
      <c r="AO53" s="90"/>
      <c r="AP53" s="90"/>
      <c r="AQ53" s="90"/>
      <c r="AR53" s="90"/>
      <c r="AS53" s="90"/>
      <c r="AT53" s="90"/>
      <c r="AU53" s="90"/>
      <c r="AV53" s="90"/>
      <c r="AW53" s="90"/>
      <c r="AX53" s="91"/>
    </row>
    <row r="54" spans="1:50" x14ac:dyDescent="0.35">
      <c r="A54" s="5" t="s">
        <v>274</v>
      </c>
      <c r="B54" s="7">
        <v>19790</v>
      </c>
      <c r="C54" s="7">
        <v>22887</v>
      </c>
      <c r="D54" s="7">
        <v>4060</v>
      </c>
      <c r="V54" s="89"/>
      <c r="W54" s="90"/>
      <c r="X54" s="90"/>
      <c r="Y54" s="90"/>
      <c r="Z54" s="90"/>
      <c r="AA54" s="90"/>
      <c r="AB54" s="90"/>
      <c r="AC54" s="90"/>
      <c r="AD54" s="90"/>
      <c r="AE54" s="90"/>
      <c r="AF54" s="90"/>
      <c r="AG54" s="90"/>
      <c r="AH54" s="91"/>
      <c r="AJ54" s="89"/>
      <c r="AK54" s="90"/>
      <c r="AL54" s="90"/>
      <c r="AM54" s="90"/>
      <c r="AN54" s="90"/>
      <c r="AO54" s="90"/>
      <c r="AP54" s="90"/>
      <c r="AQ54" s="90"/>
      <c r="AR54" s="90"/>
      <c r="AS54" s="90"/>
      <c r="AT54" s="90"/>
      <c r="AU54" s="90"/>
      <c r="AV54" s="90"/>
      <c r="AW54" s="90"/>
      <c r="AX54" s="91"/>
    </row>
    <row r="55" spans="1:50" x14ac:dyDescent="0.35">
      <c r="A55" s="5" t="s">
        <v>275</v>
      </c>
      <c r="B55" s="7">
        <v>4689</v>
      </c>
      <c r="C55" s="7">
        <v>4285</v>
      </c>
      <c r="D55" s="7">
        <v>12317</v>
      </c>
      <c r="V55" s="89"/>
      <c r="W55" s="90"/>
      <c r="X55" s="90"/>
      <c r="Y55" s="90"/>
      <c r="Z55" s="90"/>
      <c r="AA55" s="90"/>
      <c r="AB55" s="90"/>
      <c r="AC55" s="90"/>
      <c r="AD55" s="90"/>
      <c r="AE55" s="90"/>
      <c r="AF55" s="90"/>
      <c r="AG55" s="90"/>
      <c r="AH55" s="91"/>
      <c r="AJ55" s="89"/>
      <c r="AK55" s="90"/>
      <c r="AL55" s="90"/>
      <c r="AM55" s="90"/>
      <c r="AN55" s="90"/>
      <c r="AO55" s="90"/>
      <c r="AP55" s="90"/>
      <c r="AQ55" s="90"/>
      <c r="AR55" s="90"/>
      <c r="AS55" s="90"/>
      <c r="AT55" s="90"/>
      <c r="AU55" s="90"/>
      <c r="AV55" s="90"/>
      <c r="AW55" s="90"/>
      <c r="AX55" s="91"/>
    </row>
    <row r="56" spans="1:50" ht="15" thickBot="1" x14ac:dyDescent="0.4">
      <c r="A56" s="5" t="s">
        <v>276</v>
      </c>
      <c r="B56" s="7">
        <v>11399</v>
      </c>
      <c r="C56" s="7">
        <v>12291</v>
      </c>
      <c r="D56" s="7">
        <v>16377</v>
      </c>
      <c r="V56" s="92"/>
      <c r="W56" s="93"/>
      <c r="X56" s="93"/>
      <c r="Y56" s="93"/>
      <c r="Z56" s="93"/>
      <c r="AA56" s="93"/>
      <c r="AB56" s="93"/>
      <c r="AC56" s="93"/>
      <c r="AD56" s="93"/>
      <c r="AE56" s="93"/>
      <c r="AF56" s="93"/>
      <c r="AG56" s="93"/>
      <c r="AH56" s="94"/>
      <c r="AJ56" s="89"/>
      <c r="AK56" s="90"/>
      <c r="AL56" s="90"/>
      <c r="AM56" s="90"/>
      <c r="AN56" s="90"/>
      <c r="AO56" s="90"/>
      <c r="AP56" s="90"/>
      <c r="AQ56" s="90"/>
      <c r="AR56" s="90"/>
      <c r="AS56" s="90"/>
      <c r="AT56" s="90"/>
      <c r="AU56" s="90"/>
      <c r="AV56" s="90"/>
      <c r="AW56" s="90"/>
      <c r="AX56" s="91"/>
    </row>
    <row r="57" spans="1:50" x14ac:dyDescent="0.35">
      <c r="A57" s="5" t="s">
        <v>277</v>
      </c>
      <c r="B57" s="7">
        <v>16088</v>
      </c>
      <c r="C57" s="7">
        <v>16576</v>
      </c>
      <c r="D57" s="7">
        <v>-6</v>
      </c>
      <c r="AJ57" s="89"/>
      <c r="AK57" s="90"/>
      <c r="AL57" s="90"/>
      <c r="AM57" s="90"/>
      <c r="AN57" s="90"/>
      <c r="AO57" s="90"/>
      <c r="AP57" s="90"/>
      <c r="AQ57" s="90"/>
      <c r="AR57" s="90"/>
      <c r="AS57" s="90"/>
      <c r="AT57" s="90"/>
      <c r="AU57" s="90"/>
      <c r="AV57" s="90"/>
      <c r="AW57" s="90"/>
      <c r="AX57" s="91"/>
    </row>
    <row r="58" spans="1:50" x14ac:dyDescent="0.35">
      <c r="A58" s="5" t="s">
        <v>278</v>
      </c>
      <c r="B58" s="7">
        <v>-107</v>
      </c>
      <c r="C58" s="7">
        <v>-161</v>
      </c>
      <c r="D58" s="7">
        <v>-280</v>
      </c>
      <c r="AJ58" s="89"/>
      <c r="AK58" s="90"/>
      <c r="AL58" s="90"/>
      <c r="AM58" s="90"/>
      <c r="AN58" s="90"/>
      <c r="AO58" s="90"/>
      <c r="AP58" s="90"/>
      <c r="AQ58" s="90"/>
      <c r="AR58" s="90"/>
      <c r="AS58" s="90"/>
      <c r="AT58" s="90"/>
      <c r="AU58" s="90"/>
      <c r="AV58" s="90"/>
      <c r="AW58" s="90"/>
      <c r="AX58" s="91"/>
    </row>
    <row r="59" spans="1:50" x14ac:dyDescent="0.35">
      <c r="A59" s="5" t="s">
        <v>279</v>
      </c>
      <c r="B59" s="7">
        <v>-76</v>
      </c>
      <c r="C59" s="7">
        <v>-228</v>
      </c>
      <c r="D59" s="7">
        <v>6201</v>
      </c>
      <c r="AJ59" s="89"/>
      <c r="AK59" s="90"/>
      <c r="AL59" s="90"/>
      <c r="AM59" s="90"/>
      <c r="AN59" s="90"/>
      <c r="AO59" s="90"/>
      <c r="AP59" s="90"/>
      <c r="AQ59" s="90"/>
      <c r="AR59" s="90"/>
      <c r="AS59" s="90"/>
      <c r="AT59" s="90"/>
      <c r="AU59" s="90"/>
      <c r="AV59" s="90"/>
      <c r="AW59" s="90"/>
      <c r="AX59" s="91"/>
    </row>
    <row r="60" spans="1:50" x14ac:dyDescent="0.35">
      <c r="A60" s="5" t="s">
        <v>155</v>
      </c>
      <c r="B60" s="7">
        <v>3885</v>
      </c>
      <c r="C60" s="7">
        <v>6700</v>
      </c>
      <c r="D60" s="7">
        <v>1131</v>
      </c>
      <c r="AJ60" s="89"/>
      <c r="AK60" s="90"/>
      <c r="AL60" s="90"/>
      <c r="AM60" s="90"/>
      <c r="AN60" s="90"/>
      <c r="AO60" s="90"/>
      <c r="AP60" s="90"/>
      <c r="AQ60" s="90"/>
      <c r="AR60" s="90"/>
      <c r="AS60" s="90"/>
      <c r="AT60" s="90"/>
      <c r="AU60" s="90"/>
      <c r="AV60" s="90"/>
      <c r="AW60" s="90"/>
      <c r="AX60" s="91"/>
    </row>
    <row r="61" spans="1:50" x14ac:dyDescent="0.35">
      <c r="A61" s="5" t="s">
        <v>221</v>
      </c>
      <c r="B61" s="7">
        <v>666</v>
      </c>
      <c r="C61" s="7">
        <v>1000</v>
      </c>
      <c r="D61" s="6">
        <v>5070</v>
      </c>
      <c r="AJ61" s="89"/>
      <c r="AK61" s="90"/>
      <c r="AL61" s="90"/>
      <c r="AM61" s="90"/>
      <c r="AN61" s="90"/>
      <c r="AO61" s="90"/>
      <c r="AP61" s="90"/>
      <c r="AQ61" s="90"/>
      <c r="AR61" s="90"/>
      <c r="AS61" s="90"/>
      <c r="AT61" s="90"/>
      <c r="AU61" s="90"/>
      <c r="AV61" s="90"/>
      <c r="AW61" s="90"/>
      <c r="AX61" s="91"/>
    </row>
    <row r="62" spans="1:50" x14ac:dyDescent="0.35">
      <c r="A62" s="5" t="s">
        <v>280</v>
      </c>
      <c r="B62" s="6">
        <v>3219</v>
      </c>
      <c r="C62" s="6">
        <v>5700</v>
      </c>
      <c r="D62" s="6"/>
      <c r="AJ62" s="89"/>
      <c r="AK62" s="90"/>
      <c r="AL62" s="90"/>
      <c r="AM62" s="90"/>
      <c r="AN62" s="90"/>
      <c r="AO62" s="90"/>
      <c r="AP62" s="90"/>
      <c r="AQ62" s="90"/>
      <c r="AR62" s="90"/>
      <c r="AS62" s="90"/>
      <c r="AT62" s="90"/>
      <c r="AU62" s="90"/>
      <c r="AV62" s="90"/>
      <c r="AW62" s="90"/>
      <c r="AX62" s="91"/>
    </row>
    <row r="63" spans="1:50" x14ac:dyDescent="0.35">
      <c r="A63" s="5"/>
      <c r="B63" s="6"/>
      <c r="C63" s="6"/>
      <c r="D63" s="5" t="s">
        <v>9</v>
      </c>
      <c r="AJ63" s="89"/>
      <c r="AK63" s="90"/>
      <c r="AL63" s="90"/>
      <c r="AM63" s="90"/>
      <c r="AN63" s="90"/>
      <c r="AO63" s="90"/>
      <c r="AP63" s="90"/>
      <c r="AQ63" s="90"/>
      <c r="AR63" s="90"/>
      <c r="AS63" s="90"/>
      <c r="AT63" s="90"/>
      <c r="AU63" s="90"/>
      <c r="AV63" s="90"/>
      <c r="AW63" s="90"/>
      <c r="AX63" s="91"/>
    </row>
    <row r="64" spans="1:50" x14ac:dyDescent="0.35">
      <c r="A64" s="4" t="s">
        <v>281</v>
      </c>
      <c r="B64" s="5" t="s">
        <v>9</v>
      </c>
      <c r="C64" s="5" t="s">
        <v>9</v>
      </c>
      <c r="D64" s="9">
        <v>3.27</v>
      </c>
      <c r="AJ64" s="89"/>
      <c r="AK64" s="90"/>
      <c r="AL64" s="90"/>
      <c r="AM64" s="90"/>
      <c r="AN64" s="90"/>
      <c r="AO64" s="90"/>
      <c r="AP64" s="90"/>
      <c r="AQ64" s="90"/>
      <c r="AR64" s="90"/>
      <c r="AS64" s="90"/>
      <c r="AT64" s="90"/>
      <c r="AU64" s="90"/>
      <c r="AV64" s="90"/>
      <c r="AW64" s="90"/>
      <c r="AX64" s="91"/>
    </row>
    <row r="65" spans="1:50" x14ac:dyDescent="0.35">
      <c r="A65" s="5" t="s">
        <v>282</v>
      </c>
      <c r="B65" s="9">
        <v>2.17</v>
      </c>
      <c r="C65" s="9">
        <v>3.76</v>
      </c>
      <c r="D65" s="9">
        <v>3.23</v>
      </c>
      <c r="AJ65" s="89"/>
      <c r="AK65" s="90"/>
      <c r="AL65" s="90"/>
      <c r="AM65" s="90"/>
      <c r="AN65" s="90"/>
      <c r="AO65" s="90"/>
      <c r="AP65" s="90"/>
      <c r="AQ65" s="90"/>
      <c r="AR65" s="90"/>
      <c r="AS65" s="90"/>
      <c r="AT65" s="90"/>
      <c r="AU65" s="90"/>
      <c r="AV65" s="90"/>
      <c r="AW65" s="90"/>
      <c r="AX65" s="91"/>
    </row>
    <row r="66" spans="1:50" x14ac:dyDescent="0.35">
      <c r="A66" s="5" t="s">
        <v>283</v>
      </c>
      <c r="B66" s="9">
        <v>2.16</v>
      </c>
      <c r="C66" s="9">
        <v>3.73</v>
      </c>
      <c r="D66" s="5" t="s">
        <v>9</v>
      </c>
      <c r="AJ66" s="89"/>
      <c r="AK66" s="90"/>
      <c r="AL66" s="90"/>
      <c r="AM66" s="90"/>
      <c r="AN66" s="90"/>
      <c r="AO66" s="90"/>
      <c r="AP66" s="90"/>
      <c r="AQ66" s="90"/>
      <c r="AR66" s="90"/>
      <c r="AS66" s="90"/>
      <c r="AT66" s="90"/>
      <c r="AU66" s="90"/>
      <c r="AV66" s="90"/>
      <c r="AW66" s="90"/>
      <c r="AX66" s="91"/>
    </row>
    <row r="67" spans="1:50" x14ac:dyDescent="0.35">
      <c r="A67" s="4" t="s">
        <v>284</v>
      </c>
      <c r="B67" s="5" t="s">
        <v>9</v>
      </c>
      <c r="C67" s="5" t="s">
        <v>9</v>
      </c>
      <c r="D67" s="37">
        <v>1551.6</v>
      </c>
      <c r="AJ67" s="89"/>
      <c r="AK67" s="90"/>
      <c r="AL67" s="90"/>
      <c r="AM67" s="90"/>
      <c r="AN67" s="90"/>
      <c r="AO67" s="90"/>
      <c r="AP67" s="90"/>
      <c r="AQ67" s="90"/>
      <c r="AR67" s="90"/>
      <c r="AS67" s="90"/>
      <c r="AT67" s="90"/>
      <c r="AU67" s="90"/>
      <c r="AV67" s="90"/>
      <c r="AW67" s="90"/>
      <c r="AX67" s="91"/>
    </row>
    <row r="68" spans="1:50" x14ac:dyDescent="0.35">
      <c r="A68" s="5" t="s">
        <v>285</v>
      </c>
      <c r="B68" s="37">
        <v>1484.9</v>
      </c>
      <c r="C68" s="37">
        <v>1517.6</v>
      </c>
      <c r="D68" s="37">
        <v>1569.8</v>
      </c>
      <c r="AJ68" s="89"/>
      <c r="AK68" s="90"/>
      <c r="AL68" s="90"/>
      <c r="AM68" s="90"/>
      <c r="AN68" s="90"/>
      <c r="AO68" s="90"/>
      <c r="AP68" s="90"/>
      <c r="AQ68" s="90"/>
      <c r="AR68" s="90"/>
      <c r="AS68" s="90"/>
      <c r="AT68" s="90"/>
      <c r="AU68" s="90"/>
      <c r="AV68" s="90"/>
      <c r="AW68" s="90"/>
      <c r="AX68" s="91"/>
    </row>
    <row r="69" spans="1:50" x14ac:dyDescent="0.35">
      <c r="A69" s="5" t="s">
        <v>286</v>
      </c>
      <c r="B69" s="37">
        <v>1487.6</v>
      </c>
      <c r="C69" s="37">
        <v>1529.7</v>
      </c>
      <c r="D69" s="7"/>
      <c r="AJ69" s="89"/>
      <c r="AK69" s="90"/>
      <c r="AL69" s="90"/>
      <c r="AM69" s="90"/>
      <c r="AN69" s="90"/>
      <c r="AO69" s="90"/>
      <c r="AP69" s="90"/>
      <c r="AQ69" s="90"/>
      <c r="AR69" s="90"/>
      <c r="AS69" s="90"/>
      <c r="AT69" s="90"/>
      <c r="AU69" s="90"/>
      <c r="AV69" s="90"/>
      <c r="AW69" s="90"/>
      <c r="AX69" s="91"/>
    </row>
    <row r="70" spans="1:50" x14ac:dyDescent="0.35">
      <c r="A70" s="5"/>
      <c r="B70" s="7"/>
      <c r="C70" s="7"/>
      <c r="D70" s="7"/>
      <c r="AJ70" s="89"/>
      <c r="AK70" s="90"/>
      <c r="AL70" s="90"/>
      <c r="AM70" s="90"/>
      <c r="AN70" s="90"/>
      <c r="AO70" s="90"/>
      <c r="AP70" s="90"/>
      <c r="AQ70" s="90"/>
      <c r="AR70" s="90"/>
      <c r="AS70" s="90"/>
      <c r="AT70" s="90"/>
      <c r="AU70" s="90"/>
      <c r="AV70" s="90"/>
      <c r="AW70" s="90"/>
      <c r="AX70" s="91"/>
    </row>
    <row r="71" spans="1:50" x14ac:dyDescent="0.35">
      <c r="A71" s="5"/>
      <c r="B71" s="7"/>
      <c r="C71" s="7"/>
      <c r="D71" s="7"/>
      <c r="AJ71" s="89"/>
      <c r="AK71" s="90"/>
      <c r="AL71" s="90"/>
      <c r="AM71" s="90"/>
      <c r="AN71" s="90"/>
      <c r="AO71" s="90"/>
      <c r="AP71" s="90"/>
      <c r="AQ71" s="90"/>
      <c r="AR71" s="90"/>
      <c r="AS71" s="90"/>
      <c r="AT71" s="90"/>
      <c r="AU71" s="90"/>
      <c r="AV71" s="90"/>
      <c r="AW71" s="90"/>
      <c r="AX71" s="91"/>
    </row>
    <row r="72" spans="1:50" x14ac:dyDescent="0.35">
      <c r="A72" s="5"/>
      <c r="B72" s="7"/>
      <c r="C72" s="7"/>
      <c r="D72" s="7"/>
      <c r="AJ72" s="89"/>
      <c r="AK72" s="90"/>
      <c r="AL72" s="90"/>
      <c r="AM72" s="90"/>
      <c r="AN72" s="90"/>
      <c r="AO72" s="90"/>
      <c r="AP72" s="90"/>
      <c r="AQ72" s="90"/>
      <c r="AR72" s="90"/>
      <c r="AS72" s="90"/>
      <c r="AT72" s="90"/>
      <c r="AU72" s="90"/>
      <c r="AV72" s="90"/>
      <c r="AW72" s="90"/>
      <c r="AX72" s="91"/>
    </row>
    <row r="73" spans="1:50" x14ac:dyDescent="0.35">
      <c r="A73" s="5"/>
      <c r="B73" s="7"/>
      <c r="C73" s="7"/>
      <c r="D73" s="7"/>
      <c r="AJ73" s="89"/>
      <c r="AK73" s="90"/>
      <c r="AL73" s="90"/>
      <c r="AM73" s="90"/>
      <c r="AN73" s="90"/>
      <c r="AO73" s="90"/>
      <c r="AP73" s="90"/>
      <c r="AQ73" s="90"/>
      <c r="AR73" s="90"/>
      <c r="AS73" s="90"/>
      <c r="AT73" s="90"/>
      <c r="AU73" s="90"/>
      <c r="AV73" s="90"/>
      <c r="AW73" s="90"/>
      <c r="AX73" s="91"/>
    </row>
    <row r="74" spans="1:50" ht="15" thickBot="1" x14ac:dyDescent="0.4">
      <c r="A74" s="5"/>
      <c r="B74" s="7"/>
      <c r="C74" s="7"/>
      <c r="D74" s="7"/>
      <c r="AJ74" s="92"/>
      <c r="AK74" s="93"/>
      <c r="AL74" s="93"/>
      <c r="AM74" s="93"/>
      <c r="AN74" s="93"/>
      <c r="AO74" s="93"/>
      <c r="AP74" s="93"/>
      <c r="AQ74" s="93"/>
      <c r="AR74" s="93"/>
      <c r="AS74" s="93"/>
      <c r="AT74" s="93"/>
      <c r="AU74" s="93"/>
      <c r="AV74" s="93"/>
      <c r="AW74" s="93"/>
      <c r="AX74" s="94"/>
    </row>
    <row r="75" spans="1:50" x14ac:dyDescent="0.35">
      <c r="A75" s="5"/>
      <c r="B75" s="7"/>
      <c r="C75" s="7"/>
      <c r="D75" s="7"/>
    </row>
    <row r="76" spans="1:50" x14ac:dyDescent="0.35">
      <c r="A76" s="5"/>
      <c r="B76" s="7"/>
      <c r="C76" s="7"/>
      <c r="D76" s="7"/>
    </row>
    <row r="77" spans="1:50" x14ac:dyDescent="0.35">
      <c r="A77" s="5"/>
      <c r="B77" s="7"/>
      <c r="C77" s="7"/>
      <c r="D77" s="7"/>
    </row>
    <row r="78" spans="1:50" x14ac:dyDescent="0.35">
      <c r="A78" s="5"/>
      <c r="B78" s="7"/>
      <c r="C78" s="7"/>
      <c r="D78" s="7"/>
    </row>
    <row r="79" spans="1:50" x14ac:dyDescent="0.35">
      <c r="A79" s="5"/>
      <c r="B79" s="7"/>
      <c r="C79" s="7"/>
      <c r="D79" s="7"/>
    </row>
    <row r="80" spans="1:50" x14ac:dyDescent="0.35">
      <c r="A80" s="5"/>
      <c r="B80" s="7"/>
      <c r="C80" s="7"/>
      <c r="D80" s="7"/>
    </row>
    <row r="81" spans="1:4" x14ac:dyDescent="0.35">
      <c r="A81" s="5"/>
      <c r="B81" s="7"/>
      <c r="C81" s="7"/>
      <c r="D81" s="7"/>
    </row>
    <row r="82" spans="1:4" x14ac:dyDescent="0.35">
      <c r="A82" s="5"/>
      <c r="B82" s="7"/>
      <c r="C82" s="7"/>
      <c r="D82" s="6"/>
    </row>
    <row r="83" spans="1:4" x14ac:dyDescent="0.35">
      <c r="A83" s="5"/>
      <c r="B83" s="6"/>
      <c r="C83" s="6"/>
      <c r="D83" s="5"/>
    </row>
    <row r="84" spans="1:4" x14ac:dyDescent="0.35">
      <c r="A84" s="4"/>
      <c r="B84" s="5"/>
      <c r="C84" s="5"/>
      <c r="D84" s="9"/>
    </row>
    <row r="85" spans="1:4" x14ac:dyDescent="0.35">
      <c r="A85" s="5"/>
      <c r="B85" s="9"/>
      <c r="C85" s="9"/>
      <c r="D85" s="5"/>
    </row>
    <row r="86" spans="1:4" x14ac:dyDescent="0.35">
      <c r="A86" s="4"/>
      <c r="B86" s="5"/>
      <c r="C86" s="5"/>
      <c r="D86" s="27"/>
    </row>
    <row r="87" spans="1:4" x14ac:dyDescent="0.35">
      <c r="A87" s="5"/>
      <c r="B87" s="27"/>
      <c r="C87" s="27"/>
      <c r="D87" s="9"/>
    </row>
    <row r="88" spans="1:4" x14ac:dyDescent="0.35">
      <c r="A88" s="5"/>
      <c r="B88" s="9"/>
      <c r="C88" s="9"/>
      <c r="D88" s="5"/>
    </row>
    <row r="89" spans="1:4" x14ac:dyDescent="0.35">
      <c r="A89" s="5"/>
      <c r="B89" s="5"/>
      <c r="C89" s="5"/>
      <c r="D89" s="6"/>
    </row>
    <row r="90" spans="1:4" x14ac:dyDescent="0.35">
      <c r="A90" s="5"/>
      <c r="B90" s="6"/>
      <c r="C90" s="6"/>
      <c r="D90" s="5"/>
    </row>
    <row r="91" spans="1:4" x14ac:dyDescent="0.35">
      <c r="A91" s="5"/>
      <c r="B91" s="5"/>
      <c r="C91" s="5"/>
      <c r="D91" s="7"/>
    </row>
    <row r="92" spans="1:4" x14ac:dyDescent="0.35">
      <c r="A92" s="5"/>
      <c r="B92" s="7"/>
      <c r="C92" s="7"/>
      <c r="D92" s="5"/>
    </row>
    <row r="93" spans="1:4" x14ac:dyDescent="0.35">
      <c r="A93" s="5"/>
      <c r="B93" s="5"/>
      <c r="C93" s="5"/>
      <c r="D93" s="7"/>
    </row>
    <row r="94" spans="1:4" x14ac:dyDescent="0.35">
      <c r="A94" s="5"/>
      <c r="B94" s="7"/>
      <c r="C94" s="7"/>
      <c r="D94" s="5"/>
    </row>
    <row r="95" spans="1:4" x14ac:dyDescent="0.35">
      <c r="A95" s="5"/>
      <c r="B95" s="5"/>
      <c r="C95" s="5"/>
      <c r="D95" s="7"/>
    </row>
    <row r="96" spans="1:4" x14ac:dyDescent="0.35">
      <c r="A96" s="5"/>
      <c r="B96" s="7"/>
      <c r="C96" s="7"/>
      <c r="D96" s="5"/>
    </row>
    <row r="97" spans="1:4" x14ac:dyDescent="0.35">
      <c r="A97" s="5"/>
      <c r="B97" s="5"/>
      <c r="C97" s="5"/>
      <c r="D97" s="7"/>
    </row>
    <row r="98" spans="1:4" x14ac:dyDescent="0.35">
      <c r="A98" s="5"/>
      <c r="B98" s="7"/>
      <c r="C98" s="7"/>
      <c r="D98" s="5"/>
    </row>
    <row r="99" spans="1:4" x14ac:dyDescent="0.35">
      <c r="A99" s="5"/>
      <c r="B99" s="5"/>
      <c r="C99" s="5"/>
      <c r="D99" s="7"/>
    </row>
    <row r="100" spans="1:4" x14ac:dyDescent="0.35">
      <c r="A100" s="5"/>
      <c r="B100" s="7"/>
      <c r="C100" s="7"/>
      <c r="D100" s="5"/>
    </row>
    <row r="101" spans="1:4" x14ac:dyDescent="0.35">
      <c r="A101" s="5"/>
      <c r="B101" s="5"/>
      <c r="C101" s="5"/>
      <c r="D101" s="6"/>
    </row>
    <row r="102" spans="1:4" x14ac:dyDescent="0.35">
      <c r="A102" s="5"/>
      <c r="B102" s="6"/>
      <c r="C102" s="6"/>
    </row>
    <row r="103" spans="1:4" x14ac:dyDescent="0.35">
      <c r="A103" s="42"/>
      <c r="B103" s="42"/>
      <c r="C103" s="42"/>
    </row>
    <row r="104" spans="1:4" x14ac:dyDescent="0.35">
      <c r="A104" s="98"/>
      <c r="B104" s="42"/>
      <c r="C104" s="42"/>
    </row>
  </sheetData>
  <mergeCells count="9">
    <mergeCell ref="A5:K5"/>
    <mergeCell ref="A49:A50"/>
    <mergeCell ref="V15:AH30"/>
    <mergeCell ref="V33:AH56"/>
    <mergeCell ref="AJ8:AX30"/>
    <mergeCell ref="AJ34:AX48"/>
    <mergeCell ref="AJ52:AX74"/>
    <mergeCell ref="A103:C103"/>
    <mergeCell ref="A104:C10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S1</vt:lpstr>
      <vt:lpstr>S2</vt:lpstr>
      <vt:lpstr>S3</vt:lpstr>
      <vt:lpstr>S4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Manek</dc:creator>
  <cp:lastModifiedBy>Rajat Singh</cp:lastModifiedBy>
  <dcterms:created xsi:type="dcterms:W3CDTF">2022-11-20T01:08:32Z</dcterms:created>
  <dcterms:modified xsi:type="dcterms:W3CDTF">2026-01-02T15:46:30Z</dcterms:modified>
</cp:coreProperties>
</file>