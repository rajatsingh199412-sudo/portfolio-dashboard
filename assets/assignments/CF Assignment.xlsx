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ob Search\New folder\CF\"/>
    </mc:Choice>
  </mc:AlternateContent>
  <xr:revisionPtr revIDLastSave="0" documentId="13_ncr:1_{384353C9-84C8-44FD-95CB-900ACCC577B7}" xr6:coauthVersionLast="47" xr6:coauthVersionMax="47" xr10:uidLastSave="{00000000-0000-0000-0000-000000000000}"/>
  <bookViews>
    <workbookView xWindow="-110" yWindow="-110" windowWidth="19420" windowHeight="10300" activeTab="1" xr2:uid="{40DDEA3E-160C-4084-A90E-1979EC2DF0E4}"/>
  </bookViews>
  <sheets>
    <sheet name="Answer 1" sheetId="2" r:id="rId1"/>
    <sheet name="Answer 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B18" i="1"/>
  <c r="E27" i="1" s="1"/>
  <c r="C35" i="1" s="1"/>
  <c r="E182" i="2"/>
  <c r="E126" i="2"/>
  <c r="D88" i="2"/>
  <c r="C44" i="2"/>
  <c r="B41" i="1"/>
  <c r="C42" i="1" s="1"/>
  <c r="B34" i="1"/>
  <c r="B27" i="1"/>
</calcChain>
</file>

<file path=xl/sharedStrings.xml><?xml version="1.0" encoding="utf-8"?>
<sst xmlns="http://schemas.openxmlformats.org/spreadsheetml/2006/main" count="200" uniqueCount="171">
  <si>
    <t>https://www.screener.in/company/HDFCBANK/consolidated/</t>
  </si>
  <si>
    <t>https://www.moneycontrol.com/india/stockpricequote/banks-private-sector/hdfcbank/HDF01#goog_rewarded</t>
  </si>
  <si>
    <t>Current Market Price</t>
  </si>
  <si>
    <t>Latest closing Price</t>
  </si>
  <si>
    <t>₹1995.4</t>
  </si>
  <si>
    <t>Earnings and dividends</t>
  </si>
  <si>
    <t>TTM EPS</t>
  </si>
  <si>
    <t>₹91.96</t>
  </si>
  <si>
    <t>(Moneycontrol)</t>
  </si>
  <si>
    <t>P/E Ratio (TTM)</t>
  </si>
  <si>
    <t>Dividend per share</t>
  </si>
  <si>
    <t>₹22</t>
  </si>
  <si>
    <t>Dividend Growth</t>
  </si>
  <si>
    <t>Beta and Market Metrics</t>
  </si>
  <si>
    <t>https://au.finance.yahoo.com/quote/HDB/key-statistics/?utm_</t>
  </si>
  <si>
    <t>Yahoo Finance</t>
  </si>
  <si>
    <t>Beta (5‑Y monthly)</t>
  </si>
  <si>
    <t>~0.62</t>
  </si>
  <si>
    <t>Growth Indicators</t>
  </si>
  <si>
    <t>EPS growth (1‑year)</t>
  </si>
  <si>
    <t>~39%</t>
  </si>
  <si>
    <t>5-year CAGR</t>
  </si>
  <si>
    <t>~13.9%</t>
  </si>
  <si>
    <t>Profit growth (5‑year CAGR)</t>
  </si>
  <si>
    <t>~21%</t>
  </si>
  <si>
    <t>B11/C5</t>
  </si>
  <si>
    <t>net profit (or PAT - Profit After Tax)</t>
  </si>
  <si>
    <t>Operating cash flow FY25</t>
  </si>
  <si>
    <t>₹1,45,177 crore</t>
  </si>
  <si>
    <t>Free Cash Flow positive but variable</t>
  </si>
  <si>
    <t>(stockanalysis)</t>
  </si>
  <si>
    <t>(Screener)</t>
  </si>
  <si>
    <t>https://stockanalysis.com/quote/nse/HDFCBANK/statistics/?utm_</t>
  </si>
  <si>
    <t>Do</t>
  </si>
  <si>
    <t>Required rate</t>
  </si>
  <si>
    <t>Through CAPM</t>
  </si>
  <si>
    <t>r</t>
  </si>
  <si>
    <t>Rf+Beta(Rm-Rf)</t>
  </si>
  <si>
    <t>Rf</t>
  </si>
  <si>
    <t>Beta</t>
  </si>
  <si>
    <t>Intrinsic Value</t>
  </si>
  <si>
    <t>D1</t>
  </si>
  <si>
    <t>B (PE Ratio Valuation)</t>
  </si>
  <si>
    <t>EPS</t>
  </si>
  <si>
    <t>P/E</t>
  </si>
  <si>
    <t>EPS*P/E</t>
  </si>
  <si>
    <t>References</t>
  </si>
  <si>
    <r>
      <t xml:space="preserve">The </t>
    </r>
    <r>
      <rPr>
        <b/>
        <sz val="11"/>
        <color theme="1"/>
        <rFont val="Aptos Narrow"/>
        <family val="2"/>
        <scheme val="minor"/>
      </rPr>
      <t>Dividend Discount Model (DDM)</t>
    </r>
    <r>
      <rPr>
        <sz val="11"/>
        <color theme="1"/>
        <rFont val="Aptos Narrow"/>
        <family val="2"/>
        <scheme val="minor"/>
      </rPr>
      <t xml:space="preserve"> values a stock based on the </t>
    </r>
    <r>
      <rPr>
        <b/>
        <sz val="11"/>
        <color theme="1"/>
        <rFont val="Aptos Narrow"/>
        <family val="2"/>
        <scheme val="minor"/>
      </rPr>
      <t>present value of all future dividends</t>
    </r>
    <r>
      <rPr>
        <sz val="11"/>
        <color theme="1"/>
        <rFont val="Aptos Narrow"/>
        <family val="2"/>
        <scheme val="minor"/>
      </rPr>
      <t xml:space="preserve"> it is expected to pay.</t>
    </r>
  </si>
  <si>
    <r>
      <t xml:space="preserve">It's grounded in the idea that the </t>
    </r>
    <r>
      <rPr>
        <b/>
        <sz val="11"/>
        <color theme="1"/>
        <rFont val="Aptos Narrow"/>
        <family val="2"/>
        <scheme val="minor"/>
      </rPr>
      <t>intrinsic value of a stock = sum of all future cash flows to shareholders (dividends)</t>
    </r>
    <r>
      <rPr>
        <sz val="11"/>
        <color theme="1"/>
        <rFont val="Aptos Narrow"/>
        <family val="2"/>
        <scheme val="minor"/>
      </rPr>
      <t>, discounted back to today.</t>
    </r>
  </si>
  <si>
    <t>Where:</t>
  </si>
  <si>
    <r>
      <t xml:space="preserve">When dividend growth is </t>
    </r>
    <r>
      <rPr>
        <b/>
        <sz val="11"/>
        <color theme="1"/>
        <rFont val="Aptos Narrow"/>
        <family val="2"/>
        <scheme val="minor"/>
      </rPr>
      <t>not constant</t>
    </r>
    <r>
      <rPr>
        <sz val="11"/>
        <color theme="1"/>
        <rFont val="Aptos Narrow"/>
        <family val="2"/>
        <scheme val="minor"/>
      </rPr>
      <t>, DDM can be modified for multi-stage growth.</t>
    </r>
  </si>
  <si>
    <r>
      <t xml:space="preserve">Mature companies with </t>
    </r>
    <r>
      <rPr>
        <b/>
        <sz val="11"/>
        <color theme="1"/>
        <rFont val="Aptos Narrow"/>
        <family val="2"/>
        <scheme val="minor"/>
      </rPr>
      <t>stable dividend history</t>
    </r>
  </si>
  <si>
    <t>Industries like utilities, FMCG, etc.</t>
  </si>
  <si>
    <r>
      <t xml:space="preserve">Firms that do </t>
    </r>
    <r>
      <rPr>
        <b/>
        <sz val="11"/>
        <color theme="1"/>
        <rFont val="Aptos Narrow"/>
        <family val="2"/>
        <scheme val="minor"/>
      </rPr>
      <t>not pay dividends</t>
    </r>
  </si>
  <si>
    <r>
      <t xml:space="preserve">Firms with </t>
    </r>
    <r>
      <rPr>
        <b/>
        <sz val="11"/>
        <color theme="1"/>
        <rFont val="Aptos Narrow"/>
        <family val="2"/>
        <scheme val="minor"/>
      </rPr>
      <t>irregular dividend patterns</t>
    </r>
  </si>
  <si>
    <t>Consistent dividend history for 100+ years</t>
  </si>
  <si>
    <t>This would be the fair value of the stock if dividends are stable.</t>
  </si>
  <si>
    <r>
      <t xml:space="preserve">This is a </t>
    </r>
    <r>
      <rPr>
        <b/>
        <sz val="11"/>
        <color theme="1"/>
        <rFont val="Aptos Narrow"/>
        <family val="2"/>
        <scheme val="minor"/>
      </rPr>
      <t>specific version of DDM</t>
    </r>
    <r>
      <rPr>
        <sz val="11"/>
        <color theme="1"/>
        <rFont val="Aptos Narrow"/>
        <family val="2"/>
        <scheme val="minor"/>
      </rPr>
      <t xml:space="preserve"> that assumes dividends will </t>
    </r>
    <r>
      <rPr>
        <b/>
        <sz val="11"/>
        <color theme="1"/>
        <rFont val="Aptos Narrow"/>
        <family val="2"/>
        <scheme val="minor"/>
      </rPr>
      <t>grow at a constant rate (g)</t>
    </r>
    <r>
      <rPr>
        <sz val="11"/>
        <color theme="1"/>
        <rFont val="Aptos Narrow"/>
        <family val="2"/>
        <scheme val="minor"/>
      </rPr>
      <t xml:space="preserve"> forever.</t>
    </r>
  </si>
  <si>
    <r>
      <t xml:space="preserve">Assumes a </t>
    </r>
    <r>
      <rPr>
        <b/>
        <sz val="11"/>
        <color theme="1"/>
        <rFont val="Aptos Narrow"/>
        <family val="2"/>
        <scheme val="minor"/>
      </rPr>
      <t>perpetual and predictable growth rate</t>
    </r>
    <r>
      <rPr>
        <sz val="11"/>
        <color theme="1"/>
        <rFont val="Aptos Narrow"/>
        <family val="2"/>
        <scheme val="minor"/>
      </rPr>
      <t>.</t>
    </r>
  </si>
  <si>
    <r>
      <t xml:space="preserve">Blue-chip companies with </t>
    </r>
    <r>
      <rPr>
        <b/>
        <sz val="11"/>
        <color theme="1"/>
        <rFont val="Aptos Narrow"/>
        <family val="2"/>
        <scheme val="minor"/>
      </rPr>
      <t>consistent dividend growth</t>
    </r>
  </si>
  <si>
    <t>Long-term holding strategy investors</t>
  </si>
  <si>
    <r>
      <t xml:space="preserve">Startups, cyclical firms, or firms with </t>
    </r>
    <r>
      <rPr>
        <b/>
        <sz val="11"/>
        <color theme="1"/>
        <rFont val="Aptos Narrow"/>
        <family val="2"/>
        <scheme val="minor"/>
      </rPr>
      <t>variable dividend policies</t>
    </r>
  </si>
  <si>
    <t>Required return = 8%</t>
  </si>
  <si>
    <r>
      <t xml:space="preserve">The </t>
    </r>
    <r>
      <rPr>
        <b/>
        <sz val="11"/>
        <color theme="1"/>
        <rFont val="Aptos Narrow"/>
        <family val="2"/>
        <scheme val="minor"/>
      </rPr>
      <t>P/E model</t>
    </r>
    <r>
      <rPr>
        <sz val="11"/>
        <color theme="1"/>
        <rFont val="Aptos Narrow"/>
        <family val="2"/>
        <scheme val="minor"/>
      </rPr>
      <t xml:space="preserve"> is a </t>
    </r>
    <r>
      <rPr>
        <b/>
        <sz val="11"/>
        <color theme="1"/>
        <rFont val="Aptos Narrow"/>
        <family val="2"/>
        <scheme val="minor"/>
      </rPr>
      <t>relative valuation</t>
    </r>
    <r>
      <rPr>
        <sz val="11"/>
        <color theme="1"/>
        <rFont val="Aptos Narrow"/>
        <family val="2"/>
        <scheme val="minor"/>
      </rPr>
      <t xml:space="preserve"> technique. It compares a stock's market price to its </t>
    </r>
    <r>
      <rPr>
        <b/>
        <sz val="11"/>
        <color theme="1"/>
        <rFont val="Aptos Narrow"/>
        <family val="2"/>
        <scheme val="minor"/>
      </rPr>
      <t>earnings per share (EPS)</t>
    </r>
    <r>
      <rPr>
        <sz val="11"/>
        <color theme="1"/>
        <rFont val="Aptos Narrow"/>
        <family val="2"/>
        <scheme val="minor"/>
      </rPr>
      <t xml:space="preserve"> and uses </t>
    </r>
    <r>
      <rPr>
        <b/>
        <sz val="11"/>
        <color theme="1"/>
        <rFont val="Aptos Narrow"/>
        <family val="2"/>
        <scheme val="minor"/>
      </rPr>
      <t>peer group average P/E</t>
    </r>
    <r>
      <rPr>
        <sz val="11"/>
        <color theme="1"/>
        <rFont val="Aptos Narrow"/>
        <family val="2"/>
        <scheme val="minor"/>
      </rPr>
      <t xml:space="preserve"> to estimate fair value.</t>
    </r>
  </si>
  <si>
    <r>
      <t xml:space="preserve">This model relies on </t>
    </r>
    <r>
      <rPr>
        <b/>
        <sz val="11"/>
        <color theme="1"/>
        <rFont val="Aptos Narrow"/>
        <family val="2"/>
        <scheme val="minor"/>
      </rPr>
      <t>market comparables</t>
    </r>
    <r>
      <rPr>
        <sz val="11"/>
        <color theme="1"/>
        <rFont val="Aptos Narrow"/>
        <family val="2"/>
        <scheme val="minor"/>
      </rPr>
      <t>.</t>
    </r>
  </si>
  <si>
    <r>
      <t xml:space="preserve">Firms that </t>
    </r>
    <r>
      <rPr>
        <b/>
        <sz val="11"/>
        <color theme="1"/>
        <rFont val="Aptos Narrow"/>
        <family val="2"/>
        <scheme val="minor"/>
      </rPr>
      <t>don’t pay dividends</t>
    </r>
  </si>
  <si>
    <r>
      <t xml:space="preserve">For </t>
    </r>
    <r>
      <rPr>
        <b/>
        <sz val="11"/>
        <color theme="1"/>
        <rFont val="Aptos Narrow"/>
        <family val="2"/>
        <scheme val="minor"/>
      </rPr>
      <t>quick valuation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peer benchmarking</t>
    </r>
  </si>
  <si>
    <r>
      <t xml:space="preserve">Best used with </t>
    </r>
    <r>
      <rPr>
        <b/>
        <sz val="11"/>
        <color theme="1"/>
        <rFont val="Aptos Narrow"/>
        <family val="2"/>
        <scheme val="minor"/>
      </rPr>
      <t>positive and stable earnings</t>
    </r>
  </si>
  <si>
    <r>
      <t xml:space="preserve">Firms with </t>
    </r>
    <r>
      <rPr>
        <b/>
        <sz val="11"/>
        <color theme="1"/>
        <rFont val="Aptos Narrow"/>
        <family val="2"/>
        <scheme val="minor"/>
      </rPr>
      <t>negative or volatile earnings</t>
    </r>
  </si>
  <si>
    <t>Cyclical industries during downturns</t>
  </si>
  <si>
    <t>EPS: $4</t>
  </si>
  <si>
    <t>Industry average P/E for auto/tech sector: 25</t>
  </si>
  <si>
    <t>Estimated intrinsic price:</t>
  </si>
  <si>
    <t>You can compare this to the market price to assess over- or under-valuation.</t>
  </si>
  <si>
    <r>
      <t xml:space="preserve">The FCFE model values a stock based on </t>
    </r>
    <r>
      <rPr>
        <b/>
        <sz val="11"/>
        <color theme="1"/>
        <rFont val="Aptos Narrow"/>
        <family val="2"/>
        <scheme val="minor"/>
      </rPr>
      <t>future free cash flows available to shareholders</t>
    </r>
    <r>
      <rPr>
        <sz val="11"/>
        <color theme="1"/>
        <rFont val="Aptos Narrow"/>
        <family val="2"/>
        <scheme val="minor"/>
      </rPr>
      <t xml:space="preserve"> (after debt obligations), discounted at the cost of equity.</t>
    </r>
  </si>
  <si>
    <r>
      <t xml:space="preserve">Unlike DDM, it’s based on </t>
    </r>
    <r>
      <rPr>
        <b/>
        <sz val="11"/>
        <color theme="1"/>
        <rFont val="Aptos Narrow"/>
        <family val="2"/>
        <scheme val="minor"/>
      </rPr>
      <t>actual cash</t>
    </r>
    <r>
      <rPr>
        <sz val="11"/>
        <color theme="1"/>
        <rFont val="Aptos Narrow"/>
        <family val="2"/>
        <scheme val="minor"/>
      </rPr>
      <t xml:space="preserve"> rather than accounting profits or dividends.</t>
    </r>
  </si>
  <si>
    <t>For constant growth:</t>
  </si>
  <si>
    <t>FCFE = Net Income + Depreciation – Capex – Change in Working Capital + Net Borrowing</t>
  </si>
  <si>
    <t>r = Cost of equity</t>
  </si>
  <si>
    <t>g = Growth rate of FCFE</t>
  </si>
  <si>
    <r>
      <t>Cash-generating businesses</t>
    </r>
    <r>
      <rPr>
        <sz val="11"/>
        <color theme="1"/>
        <rFont val="Aptos Narrow"/>
        <family val="2"/>
        <scheme val="minor"/>
      </rPr>
      <t xml:space="preserve"> reinvesting for growth</t>
    </r>
  </si>
  <si>
    <r>
      <t xml:space="preserve">When </t>
    </r>
    <r>
      <rPr>
        <b/>
        <sz val="11"/>
        <color theme="1"/>
        <rFont val="Aptos Narrow"/>
        <family val="2"/>
        <scheme val="minor"/>
      </rPr>
      <t>cash flow data is available and reliable</t>
    </r>
  </si>
  <si>
    <r>
      <t xml:space="preserve">Firms with </t>
    </r>
    <r>
      <rPr>
        <b/>
        <sz val="11"/>
        <color theme="1"/>
        <rFont val="Aptos Narrow"/>
        <family val="2"/>
        <scheme val="minor"/>
      </rPr>
      <t>negative or inconsistent cash flows</t>
    </r>
  </si>
  <si>
    <t>Doesn’t pay dividends but has large FCFE</t>
  </si>
  <si>
    <t>FCFE last year = $12 billion</t>
  </si>
  <si>
    <t>Shares outstanding = 10 billion</t>
  </si>
  <si>
    <t>FCFE/share = $1.20</t>
  </si>
  <si>
    <t>Expected FCFE growth = 6%, cost of equity = 10%</t>
  </si>
  <si>
    <t>Model</t>
  </si>
  <si>
    <t>Valuation Based On</t>
  </si>
  <si>
    <t>Use When</t>
  </si>
  <si>
    <t>Example</t>
  </si>
  <si>
    <t>DDM</t>
  </si>
  <si>
    <t>Future dividends</t>
  </si>
  <si>
    <t>Stable, dividend-paying firms</t>
  </si>
  <si>
    <t>Procter &amp; Gamble (PG)</t>
  </si>
  <si>
    <t>Gordon Growth Model</t>
  </si>
  <si>
    <t>Constantly growing dividends</t>
  </si>
  <si>
    <t>Blue-chip stocks with consistent growth</t>
  </si>
  <si>
    <t>Coca-Cola (KO)</t>
  </si>
  <si>
    <t>P/E Multiple</t>
  </si>
  <si>
    <t>EPS × Industry P/E</t>
  </si>
  <si>
    <t>No dividends, positive EPS, peer comparison needed</t>
  </si>
  <si>
    <t>Tesla (TSLA)</t>
  </si>
  <si>
    <t>FCFE</t>
  </si>
  <si>
    <t>Cash available to equity holders</t>
  </si>
  <si>
    <t>Growth companies with reinvestment and cash generation</t>
  </si>
  <si>
    <t>Amazon (AMZN)</t>
  </si>
  <si>
    <t>1. Dividend Discount Model (DDM)</t>
  </si>
  <si>
    <t>Formula (Basic DDM):</t>
  </si>
  <si>
    <t>P0=D1/r</t>
  </si>
  <si>
    <t>P0 = Current intrinsic value of stock</t>
  </si>
  <si>
    <t>D1 = Dividend expected next year</t>
  </si>
  <si>
    <t>r = Required rate of return</t>
  </si>
  <si>
    <t>When to Use:</t>
  </si>
  <si>
    <t xml:space="preserve"> Not suitable for:</t>
  </si>
  <si>
    <t>Example: Procter &amp; Gamble (PG)</t>
  </si>
  <si>
    <t>Let’s say PG pays $3.76 annual dividend and investors expect 6% return</t>
  </si>
  <si>
    <t>P0=3.76/0.06</t>
  </si>
  <si>
    <t>2. Gordon Growth Model (GGM) / Constant Growth DDM</t>
  </si>
  <si>
    <t>Concept:</t>
  </si>
  <si>
    <t>The yield on India 3 Month Bond Yield rose to 5.44% on August 7, 2025</t>
  </si>
  <si>
    <t>https://tradingeconomics.com/india/3-month-bill-yield</t>
  </si>
  <si>
    <t>Formula:</t>
  </si>
  <si>
    <t>P0=D1/(r-g)</t>
  </si>
  <si>
    <t>D1=D0×(1+g)</t>
  </si>
  <si>
    <t>r = required return</t>
  </si>
  <si>
    <t>g = constant dividend growth rate</t>
  </si>
  <si>
    <t xml:space="preserve"> When to Use:</t>
  </si>
  <si>
    <t>Not suitable for:</t>
  </si>
  <si>
    <t>Example: Coca-Cola</t>
  </si>
  <si>
    <t>It Has increased dividends for 60+ consecutive years</t>
  </si>
  <si>
    <t>Coca cola paid $1.76 last year, expected to grow 5% annually</t>
  </si>
  <si>
    <t>P0=(1.76×1.05)/(0.08−0.05)</t>
  </si>
  <si>
    <t>This is the stock's intrinsic value under GGM model.</t>
  </si>
  <si>
    <t>3. Price-to-Earnings (P/E) Multiple Model</t>
  </si>
  <si>
    <t>Intrinsic Price=EPS×Industry or Historical P/E</t>
  </si>
  <si>
    <t>Example: Tesla (TSLA)</t>
  </si>
  <si>
    <t>4×25</t>
  </si>
  <si>
    <t>4. Free Cash Flow to Equity (FCFE) Model</t>
  </si>
  <si>
    <t>P0=∑t=1-n FCFEt/(1+r)^t</t>
  </si>
  <si>
    <t>P0=FCFE1/(r−g)</t>
  </si>
  <si>
    <t>Example: Amazon (AMZN)</t>
  </si>
  <si>
    <t>P0=(1.20×1.06)/(0.10−0.06)</t>
  </si>
  <si>
    <t>1.272/0.04</t>
  </si>
  <si>
    <t>Amazon's actual share price includes premium for growth, so models like FCFE may provide conservative valuations.</t>
  </si>
  <si>
    <t>Summary Table (with Detailed Examples)</t>
  </si>
  <si>
    <t>Answer 1</t>
  </si>
  <si>
    <t>Answer 2</t>
  </si>
  <si>
    <t>HDFC Bank</t>
  </si>
  <si>
    <t>Rm(Niftybees)</t>
  </si>
  <si>
    <t>A (Gorden Growth Model)</t>
  </si>
  <si>
    <t>Dividend 2023-24</t>
  </si>
  <si>
    <t>Dividend 2024-25</t>
  </si>
  <si>
    <t>D1/(r-g)</t>
  </si>
  <si>
    <t>Dividend Yield</t>
  </si>
  <si>
    <t>This yr bank also gave Rs 5 as special dividend that can not be calculated because it is giving 38% growth which is more than r.</t>
  </si>
  <si>
    <t>Nifty 50 PE</t>
  </si>
  <si>
    <t>Considering PE of Nifty 50</t>
  </si>
  <si>
    <t>Considering PE of Industry</t>
  </si>
  <si>
    <t>Industry PE</t>
  </si>
  <si>
    <t>The significant divergence in these two P/E-based valuations underscores the importance of selecting an appropriate benchmark. It also reflects that investors may be pricing HDFC Bank at a premium due to its size, performance, or perceived lower risk.</t>
  </si>
  <si>
    <r>
      <t xml:space="preserve">We have evaluated the intrinsic value of HDFC Bank using two different models: the </t>
    </r>
    <r>
      <rPr>
        <b/>
        <sz val="11"/>
        <color theme="1"/>
        <rFont val="Aptos Narrow"/>
        <family val="2"/>
        <scheme val="minor"/>
      </rPr>
      <t>Gordon Growth Model (DDM)</t>
    </r>
    <r>
      <rPr>
        <sz val="11"/>
        <color theme="1"/>
        <rFont val="Aptos Narrow"/>
        <family val="2"/>
        <scheme val="minor"/>
      </rPr>
      <t xml:space="preserve"> and the </t>
    </r>
    <r>
      <rPr>
        <b/>
        <sz val="11"/>
        <color theme="1"/>
        <rFont val="Aptos Narrow"/>
        <family val="2"/>
        <scheme val="minor"/>
      </rPr>
      <t>Price-to-Earnings (P/E) Ratio method</t>
    </r>
    <r>
      <rPr>
        <sz val="11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</si>
  <si>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DDM, which assumes consistent dividend growth</t>
    </r>
    <r>
      <rPr>
        <sz val="11"/>
        <color theme="1"/>
        <rFont val="Aptos Narrow"/>
        <family val="2"/>
        <scheme val="minor"/>
      </rPr>
      <t xml:space="preserve">, yielded an intrinsic value of </t>
    </r>
    <r>
      <rPr>
        <b/>
        <sz val="11"/>
        <color theme="1"/>
        <rFont val="Aptos Narrow"/>
        <family val="2"/>
        <scheme val="minor"/>
      </rPr>
      <t>₹4019.60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indicating the stock may be significantly undervalued if high dividend growth continues</t>
    </r>
    <r>
      <rPr>
        <sz val="11"/>
        <color theme="1"/>
        <rFont val="Aptos Narrow"/>
        <family val="2"/>
        <scheme val="minor"/>
      </rPr>
      <t>. The required rate of return (r) was estimated via the CAPM model, using a risk-free rate of 5.44%, a beta of 0.62, and a market return of 18.34%, resulting in r = 13.44%.</t>
    </r>
  </si>
  <si>
    <r>
      <t xml:space="preserve">For the </t>
    </r>
    <r>
      <rPr>
        <b/>
        <sz val="11"/>
        <color theme="1"/>
        <rFont val="Aptos Narrow"/>
        <family val="2"/>
        <scheme val="minor"/>
      </rPr>
      <t>P/E ratio method</t>
    </r>
    <r>
      <rPr>
        <sz val="11"/>
        <color theme="1"/>
        <rFont val="Aptos Narrow"/>
        <family val="2"/>
        <scheme val="minor"/>
      </rPr>
      <t xml:space="preserve">, we applied </t>
    </r>
    <r>
      <rPr>
        <b/>
        <sz val="11"/>
        <color theme="1"/>
        <rFont val="Aptos Narrow"/>
        <family val="2"/>
        <scheme val="minor"/>
      </rPr>
      <t>two different market multiples</t>
    </r>
    <r>
      <rPr>
        <sz val="11"/>
        <color theme="1"/>
        <rFont val="Aptos Narrow"/>
        <family val="2"/>
        <scheme val="minor"/>
      </rPr>
      <t>:</t>
    </r>
  </si>
  <si>
    <r>
      <t xml:space="preserve">Using the </t>
    </r>
    <r>
      <rPr>
        <b/>
        <sz val="11"/>
        <color theme="1"/>
        <rFont val="Aptos Narrow"/>
        <family val="2"/>
        <scheme val="minor"/>
      </rPr>
      <t>Nifty 50 P/E of 21.7</t>
    </r>
    <r>
      <rPr>
        <sz val="11"/>
        <color theme="1"/>
        <rFont val="Aptos Narrow"/>
        <family val="2"/>
        <scheme val="minor"/>
      </rPr>
      <t xml:space="preserve">, the intrinsic value came to </t>
    </r>
    <r>
      <rPr>
        <b/>
        <sz val="11"/>
        <color theme="1"/>
        <rFont val="Aptos Narrow"/>
        <family val="2"/>
        <scheme val="minor"/>
      </rPr>
      <t>₹1995.53</t>
    </r>
    <r>
      <rPr>
        <sz val="11"/>
        <color theme="1"/>
        <rFont val="Aptos Narrow"/>
        <family val="2"/>
        <scheme val="minor"/>
      </rPr>
      <t xml:space="preserve">, which is almost </t>
    </r>
    <r>
      <rPr>
        <b/>
        <sz val="11"/>
        <color theme="1"/>
        <rFont val="Aptos Narrow"/>
        <family val="2"/>
        <scheme val="minor"/>
      </rPr>
      <t>equal to the current market price</t>
    </r>
    <r>
      <rPr>
        <sz val="11"/>
        <color theme="1"/>
        <rFont val="Aptos Narrow"/>
        <family val="2"/>
        <scheme val="minor"/>
      </rPr>
      <t xml:space="preserve"> of ₹1995.4, suggesting fair value.</t>
    </r>
  </si>
  <si>
    <r>
      <t xml:space="preserve">Using the </t>
    </r>
    <r>
      <rPr>
        <b/>
        <sz val="11"/>
        <color theme="1"/>
        <rFont val="Aptos Narrow"/>
        <family val="2"/>
        <scheme val="minor"/>
      </rPr>
      <t>Banking Industry P/E of 12.4</t>
    </r>
    <r>
      <rPr>
        <sz val="11"/>
        <color theme="1"/>
        <rFont val="Aptos Narrow"/>
        <family val="2"/>
        <scheme val="minor"/>
      </rPr>
      <t xml:space="preserve">, the valuation fell to </t>
    </r>
    <r>
      <rPr>
        <b/>
        <sz val="11"/>
        <color theme="1"/>
        <rFont val="Aptos Narrow"/>
        <family val="2"/>
        <scheme val="minor"/>
      </rPr>
      <t>₹1140.30</t>
    </r>
    <r>
      <rPr>
        <sz val="11"/>
        <color theme="1"/>
        <rFont val="Aptos Narrow"/>
        <family val="2"/>
        <scheme val="minor"/>
      </rPr>
      <t xml:space="preserve">, suggesting the </t>
    </r>
    <r>
      <rPr>
        <b/>
        <sz val="11"/>
        <color theme="1"/>
        <rFont val="Aptos Narrow"/>
        <family val="2"/>
        <scheme val="minor"/>
      </rPr>
      <t>stock may be overvalued relative to its industry peers</t>
    </r>
    <r>
      <rPr>
        <sz val="11"/>
        <color theme="1"/>
        <rFont val="Aptos Narrow"/>
        <family val="2"/>
        <scheme val="minor"/>
      </rPr>
      <t>.</t>
    </r>
  </si>
  <si>
    <r>
      <t>Overall, while the</t>
    </r>
    <r>
      <rPr>
        <b/>
        <sz val="11"/>
        <color theme="1"/>
        <rFont val="Aptos Narrow"/>
        <family val="2"/>
        <scheme val="minor"/>
      </rPr>
      <t xml:space="preserve"> DDM shows strong undervaluation</t>
    </r>
    <r>
      <rPr>
        <sz val="11"/>
        <color theme="1"/>
        <rFont val="Aptos Narrow"/>
        <family val="2"/>
        <scheme val="minor"/>
      </rPr>
      <t>, the</t>
    </r>
    <r>
      <rPr>
        <b/>
        <sz val="11"/>
        <color theme="1"/>
        <rFont val="Aptos Narrow"/>
        <family val="2"/>
        <scheme val="minor"/>
      </rPr>
      <t xml:space="preserve"> P/E analysis offers a mixed view</t>
    </r>
    <r>
      <rPr>
        <sz val="11"/>
        <color theme="1"/>
        <rFont val="Aptos Narrow"/>
        <family val="2"/>
        <scheme val="minor"/>
      </rPr>
      <t>. Hence, valuation conclusions should be drawn carefully, considering model assumptions and market expectations.</t>
    </r>
  </si>
  <si>
    <t>AI Tutor, personal communication, August 8, 2025</t>
  </si>
  <si>
    <t>OpenAI ChatGPT, August 8, 2025</t>
  </si>
  <si>
    <t>5 yr 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</si>
</sst>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8"/>
      <color rgb="FF333333"/>
      <name val="Arial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16" fontId="0" fillId="0" borderId="0" xfId="0" applyNumberFormat="1"/>
    <xf numFmtId="0" fontId="4" fillId="0" borderId="0" xfId="2"/>
    <xf numFmtId="10" fontId="0" fillId="0" borderId="0" xfId="0" applyNumberFormat="1"/>
    <xf numFmtId="10" fontId="0" fillId="0" borderId="0" xfId="1" applyNumberFormat="1" applyFont="1"/>
    <xf numFmtId="0" fontId="0" fillId="0" borderId="0" xfId="0" applyAlignment="1">
      <alignment wrapText="1"/>
    </xf>
    <xf numFmtId="0" fontId="0" fillId="2" borderId="0" xfId="0" applyFill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5" fillId="0" borderId="2" xfId="0" applyFont="1" applyBorder="1" applyAlignment="1">
      <alignment vertical="center"/>
    </xf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2" fontId="0" fillId="2" borderId="0" xfId="0" applyNumberFormat="1" applyFill="1"/>
    <xf numFmtId="2" fontId="0" fillId="0" borderId="0" xfId="1" applyNumberFormat="1" applyFont="1"/>
    <xf numFmtId="0" fontId="9" fillId="0" borderId="0" xfId="0" applyFont="1"/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u.finance.yahoo.com/quote/HDB/key-statistics/?utm_" TargetMode="External"/><Relationship Id="rId2" Type="http://schemas.openxmlformats.org/officeDocument/2006/relationships/hyperlink" Target="https://www.moneycontrol.com/india/stockpricequote/banks-private-sector/hdfcbank/HDF01" TargetMode="External"/><Relationship Id="rId1" Type="http://schemas.openxmlformats.org/officeDocument/2006/relationships/hyperlink" Target="https://www.screener.in/company/HDFCBANK/consolidated/" TargetMode="External"/><Relationship Id="rId5" Type="http://schemas.openxmlformats.org/officeDocument/2006/relationships/hyperlink" Target="https://tradingeconomics.com/india/3-month-bill-yield" TargetMode="External"/><Relationship Id="rId4" Type="http://schemas.openxmlformats.org/officeDocument/2006/relationships/hyperlink" Target="https://stockanalysis.com/quote/nse/HDFCBANK/statistics/?utm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C6DB-BB07-47AC-A75F-1115DBBE921D}">
  <dimension ref="A2:J205"/>
  <sheetViews>
    <sheetView workbookViewId="0">
      <selection activeCell="A2" sqref="A2"/>
    </sheetView>
  </sheetViews>
  <sheetFormatPr defaultRowHeight="14.5" x14ac:dyDescent="0.35"/>
  <cols>
    <col min="4" max="4" width="9.26953125" customWidth="1"/>
  </cols>
  <sheetData>
    <row r="2" spans="1:2" ht="23.5" x14ac:dyDescent="0.35">
      <c r="A2" s="10" t="s">
        <v>147</v>
      </c>
    </row>
    <row r="5" spans="1:2" ht="23.5" x14ac:dyDescent="0.35">
      <c r="A5" s="10" t="s">
        <v>108</v>
      </c>
    </row>
    <row r="7" spans="1:2" ht="17.5" x14ac:dyDescent="0.35">
      <c r="A7" s="11"/>
    </row>
    <row r="9" spans="1:2" x14ac:dyDescent="0.35">
      <c r="A9" t="s">
        <v>47</v>
      </c>
    </row>
    <row r="10" spans="1:2" x14ac:dyDescent="0.35">
      <c r="A10" t="s">
        <v>48</v>
      </c>
    </row>
    <row r="12" spans="1:2" ht="17.5" x14ac:dyDescent="0.35">
      <c r="A12" s="11" t="s">
        <v>109</v>
      </c>
    </row>
    <row r="14" spans="1:2" x14ac:dyDescent="0.35">
      <c r="B14" t="s">
        <v>110</v>
      </c>
    </row>
    <row r="16" spans="1:2" x14ac:dyDescent="0.35">
      <c r="A16" t="s">
        <v>49</v>
      </c>
    </row>
    <row r="17" spans="1:4" x14ac:dyDescent="0.35">
      <c r="A17" s="12"/>
    </row>
    <row r="18" spans="1:4" x14ac:dyDescent="0.35">
      <c r="A18" s="29" t="s">
        <v>111</v>
      </c>
      <c r="B18" s="29"/>
      <c r="C18" s="29"/>
      <c r="D18" s="29"/>
    </row>
    <row r="19" spans="1:4" x14ac:dyDescent="0.35">
      <c r="A19" s="12"/>
    </row>
    <row r="20" spans="1:4" x14ac:dyDescent="0.35">
      <c r="A20" s="29" t="s">
        <v>112</v>
      </c>
      <c r="B20" s="29"/>
      <c r="C20" s="29"/>
      <c r="D20" s="29"/>
    </row>
    <row r="21" spans="1:4" x14ac:dyDescent="0.35">
      <c r="A21" s="12"/>
    </row>
    <row r="22" spans="1:4" x14ac:dyDescent="0.35">
      <c r="A22" s="29" t="s">
        <v>113</v>
      </c>
      <c r="B22" s="29"/>
      <c r="C22" s="29"/>
    </row>
    <row r="23" spans="1:4" x14ac:dyDescent="0.35">
      <c r="A23" s="12"/>
    </row>
    <row r="24" spans="1:4" x14ac:dyDescent="0.35">
      <c r="A24" s="12" t="s">
        <v>50</v>
      </c>
    </row>
    <row r="26" spans="1:4" ht="17.5" x14ac:dyDescent="0.35">
      <c r="A26" s="11" t="s">
        <v>114</v>
      </c>
    </row>
    <row r="27" spans="1:4" x14ac:dyDescent="0.35">
      <c r="A27" s="12"/>
    </row>
    <row r="28" spans="1:4" x14ac:dyDescent="0.35">
      <c r="A28" s="12" t="s">
        <v>51</v>
      </c>
    </row>
    <row r="29" spans="1:4" x14ac:dyDescent="0.35">
      <c r="A29" s="12"/>
    </row>
    <row r="30" spans="1:4" x14ac:dyDescent="0.35">
      <c r="A30" s="12" t="s">
        <v>52</v>
      </c>
    </row>
    <row r="32" spans="1:4" ht="17.5" x14ac:dyDescent="0.35">
      <c r="A32" s="11" t="s">
        <v>115</v>
      </c>
    </row>
    <row r="33" spans="1:3" x14ac:dyDescent="0.35">
      <c r="A33" s="12"/>
    </row>
    <row r="34" spans="1:3" x14ac:dyDescent="0.35">
      <c r="A34" s="12" t="s">
        <v>53</v>
      </c>
    </row>
    <row r="35" spans="1:3" x14ac:dyDescent="0.35">
      <c r="A35" s="12"/>
    </row>
    <row r="36" spans="1:3" x14ac:dyDescent="0.35">
      <c r="A36" s="12" t="s">
        <v>54</v>
      </c>
    </row>
    <row r="38" spans="1:3" ht="17.5" x14ac:dyDescent="0.35">
      <c r="A38" s="11" t="s">
        <v>116</v>
      </c>
    </row>
    <row r="39" spans="1:3" x14ac:dyDescent="0.35">
      <c r="A39" s="12"/>
    </row>
    <row r="40" spans="1:3" x14ac:dyDescent="0.35">
      <c r="A40" s="12" t="s">
        <v>55</v>
      </c>
    </row>
    <row r="41" spans="1:3" x14ac:dyDescent="0.35">
      <c r="A41" s="12"/>
    </row>
    <row r="42" spans="1:3" x14ac:dyDescent="0.35">
      <c r="A42" s="12" t="s">
        <v>117</v>
      </c>
    </row>
    <row r="43" spans="1:3" x14ac:dyDescent="0.35">
      <c r="A43" s="12"/>
    </row>
    <row r="44" spans="1:3" x14ac:dyDescent="0.35">
      <c r="A44" s="12" t="s">
        <v>118</v>
      </c>
      <c r="C44" s="9">
        <f>3.76/0.06</f>
        <v>62.666666666666664</v>
      </c>
    </row>
    <row r="45" spans="1:3" x14ac:dyDescent="0.35">
      <c r="A45" s="12"/>
    </row>
    <row r="46" spans="1:3" x14ac:dyDescent="0.35">
      <c r="A46" s="12" t="s">
        <v>56</v>
      </c>
    </row>
    <row r="50" spans="1:2" ht="23.5" x14ac:dyDescent="0.35">
      <c r="A50" s="10" t="s">
        <v>119</v>
      </c>
    </row>
    <row r="52" spans="1:2" ht="17.5" x14ac:dyDescent="0.35">
      <c r="A52" s="11" t="s">
        <v>120</v>
      </c>
    </row>
    <row r="54" spans="1:2" x14ac:dyDescent="0.35">
      <c r="A54" t="s">
        <v>57</v>
      </c>
    </row>
    <row r="56" spans="1:2" ht="17.5" x14ac:dyDescent="0.35">
      <c r="A56" s="11" t="s">
        <v>123</v>
      </c>
    </row>
    <row r="58" spans="1:2" x14ac:dyDescent="0.35">
      <c r="B58" t="s">
        <v>124</v>
      </c>
    </row>
    <row r="60" spans="1:2" x14ac:dyDescent="0.35">
      <c r="A60" t="s">
        <v>49</v>
      </c>
    </row>
    <row r="61" spans="1:2" x14ac:dyDescent="0.35">
      <c r="A61" s="12"/>
    </row>
    <row r="62" spans="1:2" x14ac:dyDescent="0.35">
      <c r="A62" s="12" t="s">
        <v>125</v>
      </c>
    </row>
    <row r="63" spans="1:2" x14ac:dyDescent="0.35">
      <c r="A63" s="12"/>
    </row>
    <row r="64" spans="1:2" x14ac:dyDescent="0.35">
      <c r="A64" s="12" t="s">
        <v>126</v>
      </c>
    </row>
    <row r="65" spans="1:1" x14ac:dyDescent="0.35">
      <c r="A65" s="12"/>
    </row>
    <row r="66" spans="1:1" x14ac:dyDescent="0.35">
      <c r="A66" s="12" t="s">
        <v>127</v>
      </c>
    </row>
    <row r="67" spans="1:1" x14ac:dyDescent="0.35">
      <c r="A67" s="12"/>
    </row>
    <row r="68" spans="1:1" x14ac:dyDescent="0.35">
      <c r="A68" s="12" t="s">
        <v>58</v>
      </c>
    </row>
    <row r="70" spans="1:1" ht="17.5" x14ac:dyDescent="0.35">
      <c r="A70" s="11" t="s">
        <v>128</v>
      </c>
    </row>
    <row r="71" spans="1:1" x14ac:dyDescent="0.35">
      <c r="A71" s="12"/>
    </row>
    <row r="72" spans="1:1" x14ac:dyDescent="0.35">
      <c r="A72" s="12" t="s">
        <v>59</v>
      </c>
    </row>
    <row r="73" spans="1:1" x14ac:dyDescent="0.35">
      <c r="A73" s="12"/>
    </row>
    <row r="74" spans="1:1" x14ac:dyDescent="0.35">
      <c r="A74" s="12" t="s">
        <v>60</v>
      </c>
    </row>
    <row r="76" spans="1:1" ht="17.5" x14ac:dyDescent="0.35">
      <c r="A76" s="11" t="s">
        <v>129</v>
      </c>
    </row>
    <row r="77" spans="1:1" x14ac:dyDescent="0.35">
      <c r="A77" s="12"/>
    </row>
    <row r="78" spans="1:1" x14ac:dyDescent="0.35">
      <c r="A78" s="12" t="s">
        <v>61</v>
      </c>
    </row>
    <row r="80" spans="1:1" ht="17.5" x14ac:dyDescent="0.35">
      <c r="A80" s="11" t="s">
        <v>130</v>
      </c>
    </row>
    <row r="81" spans="1:4" x14ac:dyDescent="0.35">
      <c r="A81" s="12"/>
    </row>
    <row r="82" spans="1:4" x14ac:dyDescent="0.35">
      <c r="A82" s="12" t="s">
        <v>131</v>
      </c>
    </row>
    <row r="83" spans="1:4" x14ac:dyDescent="0.35">
      <c r="A83" s="12"/>
    </row>
    <row r="84" spans="1:4" x14ac:dyDescent="0.35">
      <c r="A84" s="12" t="s">
        <v>132</v>
      </c>
    </row>
    <row r="85" spans="1:4" x14ac:dyDescent="0.35">
      <c r="A85" s="12"/>
    </row>
    <row r="86" spans="1:4" x14ac:dyDescent="0.35">
      <c r="A86" s="12" t="s">
        <v>62</v>
      </c>
    </row>
    <row r="88" spans="1:4" x14ac:dyDescent="0.35">
      <c r="A88" t="s">
        <v>133</v>
      </c>
      <c r="D88" s="9">
        <f>1.848/0.03</f>
        <v>61.600000000000009</v>
      </c>
    </row>
    <row r="90" spans="1:4" x14ac:dyDescent="0.35">
      <c r="A90" t="s">
        <v>134</v>
      </c>
    </row>
    <row r="94" spans="1:4" ht="23.5" x14ac:dyDescent="0.35">
      <c r="A94" s="10" t="s">
        <v>135</v>
      </c>
    </row>
    <row r="96" spans="1:4" ht="17.5" x14ac:dyDescent="0.35">
      <c r="A96" s="11" t="s">
        <v>120</v>
      </c>
    </row>
    <row r="98" spans="1:1" x14ac:dyDescent="0.35">
      <c r="A98" t="s">
        <v>63</v>
      </c>
    </row>
    <row r="100" spans="1:1" ht="17.5" x14ac:dyDescent="0.35">
      <c r="A100" s="11" t="s">
        <v>123</v>
      </c>
    </row>
    <row r="102" spans="1:1" x14ac:dyDescent="0.35">
      <c r="A102" t="s">
        <v>136</v>
      </c>
    </row>
    <row r="103" spans="1:1" x14ac:dyDescent="0.35">
      <c r="A103" s="12"/>
    </row>
    <row r="104" spans="1:1" x14ac:dyDescent="0.35">
      <c r="A104" s="12" t="s">
        <v>64</v>
      </c>
    </row>
    <row r="106" spans="1:1" ht="17.5" x14ac:dyDescent="0.35">
      <c r="A106" s="11" t="s">
        <v>128</v>
      </c>
    </row>
    <row r="107" spans="1:1" x14ac:dyDescent="0.35">
      <c r="A107" s="12"/>
    </row>
    <row r="108" spans="1:1" x14ac:dyDescent="0.35">
      <c r="A108" s="12" t="s">
        <v>65</v>
      </c>
    </row>
    <row r="109" spans="1:1" x14ac:dyDescent="0.35">
      <c r="A109" s="12"/>
    </row>
    <row r="110" spans="1:1" x14ac:dyDescent="0.35">
      <c r="A110" s="12" t="s">
        <v>66</v>
      </c>
    </row>
    <row r="111" spans="1:1" x14ac:dyDescent="0.35">
      <c r="A111" s="12"/>
    </row>
    <row r="112" spans="1:1" x14ac:dyDescent="0.35">
      <c r="A112" s="12" t="s">
        <v>67</v>
      </c>
    </row>
    <row r="114" spans="1:5" ht="17.5" x14ac:dyDescent="0.35">
      <c r="A114" s="11" t="s">
        <v>115</v>
      </c>
    </row>
    <row r="115" spans="1:5" x14ac:dyDescent="0.35">
      <c r="A115" s="12"/>
    </row>
    <row r="116" spans="1:5" x14ac:dyDescent="0.35">
      <c r="A116" s="12" t="s">
        <v>68</v>
      </c>
    </row>
    <row r="117" spans="1:5" x14ac:dyDescent="0.35">
      <c r="A117" s="12"/>
    </row>
    <row r="118" spans="1:5" x14ac:dyDescent="0.35">
      <c r="A118" s="12" t="s">
        <v>69</v>
      </c>
    </row>
    <row r="120" spans="1:5" ht="17.5" x14ac:dyDescent="0.35">
      <c r="A120" s="11" t="s">
        <v>137</v>
      </c>
    </row>
    <row r="121" spans="1:5" x14ac:dyDescent="0.35">
      <c r="A121" s="12"/>
    </row>
    <row r="122" spans="1:5" x14ac:dyDescent="0.35">
      <c r="A122" s="12" t="s">
        <v>70</v>
      </c>
    </row>
    <row r="123" spans="1:5" x14ac:dyDescent="0.35">
      <c r="A123" s="12"/>
    </row>
    <row r="124" spans="1:5" x14ac:dyDescent="0.35">
      <c r="A124" s="12" t="s">
        <v>71</v>
      </c>
    </row>
    <row r="125" spans="1:5" x14ac:dyDescent="0.35">
      <c r="A125" s="12"/>
    </row>
    <row r="126" spans="1:5" x14ac:dyDescent="0.35">
      <c r="A126" s="12" t="s">
        <v>72</v>
      </c>
      <c r="D126" s="12" t="s">
        <v>138</v>
      </c>
      <c r="E126" s="9">
        <f>4*25</f>
        <v>100</v>
      </c>
    </row>
    <row r="127" spans="1:5" x14ac:dyDescent="0.35">
      <c r="A127" s="12"/>
    </row>
    <row r="128" spans="1:5" x14ac:dyDescent="0.35">
      <c r="A128" s="12"/>
    </row>
    <row r="130" spans="1:1" x14ac:dyDescent="0.35">
      <c r="A130" t="s">
        <v>73</v>
      </c>
    </row>
    <row r="134" spans="1:1" ht="23.5" x14ac:dyDescent="0.35">
      <c r="A134" s="10" t="s">
        <v>139</v>
      </c>
    </row>
    <row r="136" spans="1:1" ht="17.5" x14ac:dyDescent="0.35">
      <c r="A136" s="11" t="s">
        <v>120</v>
      </c>
    </row>
    <row r="138" spans="1:1" x14ac:dyDescent="0.35">
      <c r="A138" t="s">
        <v>74</v>
      </c>
    </row>
    <row r="140" spans="1:1" x14ac:dyDescent="0.35">
      <c r="A140" t="s">
        <v>75</v>
      </c>
    </row>
    <row r="142" spans="1:1" ht="17.5" x14ac:dyDescent="0.35">
      <c r="A142" s="11" t="s">
        <v>123</v>
      </c>
    </row>
    <row r="144" spans="1:1" x14ac:dyDescent="0.35">
      <c r="A144" t="s">
        <v>140</v>
      </c>
    </row>
    <row r="145" spans="1:1" x14ac:dyDescent="0.35">
      <c r="A145" s="12"/>
    </row>
    <row r="146" spans="1:1" x14ac:dyDescent="0.35">
      <c r="A146" s="12" t="s">
        <v>76</v>
      </c>
    </row>
    <row r="148" spans="1:1" x14ac:dyDescent="0.35">
      <c r="A148" t="s">
        <v>141</v>
      </c>
    </row>
    <row r="150" spans="1:1" x14ac:dyDescent="0.35">
      <c r="A150" t="s">
        <v>49</v>
      </c>
    </row>
    <row r="151" spans="1:1" x14ac:dyDescent="0.35">
      <c r="A151" s="12"/>
    </row>
    <row r="152" spans="1:1" x14ac:dyDescent="0.35">
      <c r="A152" s="12" t="s">
        <v>77</v>
      </c>
    </row>
    <row r="153" spans="1:1" x14ac:dyDescent="0.35">
      <c r="A153" s="12"/>
    </row>
    <row r="154" spans="1:1" x14ac:dyDescent="0.35">
      <c r="A154" s="12" t="s">
        <v>78</v>
      </c>
    </row>
    <row r="155" spans="1:1" x14ac:dyDescent="0.35">
      <c r="A155" s="12"/>
    </row>
    <row r="156" spans="1:1" x14ac:dyDescent="0.35">
      <c r="A156" s="12" t="s">
        <v>79</v>
      </c>
    </row>
    <row r="158" spans="1:1" ht="17.5" x14ac:dyDescent="0.35">
      <c r="A158" s="11" t="s">
        <v>114</v>
      </c>
    </row>
    <row r="159" spans="1:1" x14ac:dyDescent="0.35">
      <c r="A159" s="12"/>
    </row>
    <row r="160" spans="1:1" x14ac:dyDescent="0.35">
      <c r="A160" s="12" t="s">
        <v>65</v>
      </c>
    </row>
    <row r="161" spans="1:1" x14ac:dyDescent="0.35">
      <c r="A161" s="12"/>
    </row>
    <row r="162" spans="1:1" x14ac:dyDescent="0.35">
      <c r="A162" s="13" t="s">
        <v>80</v>
      </c>
    </row>
    <row r="163" spans="1:1" x14ac:dyDescent="0.35">
      <c r="A163" s="12"/>
    </row>
    <row r="164" spans="1:1" x14ac:dyDescent="0.35">
      <c r="A164" s="12" t="s">
        <v>81</v>
      </c>
    </row>
    <row r="166" spans="1:1" ht="17.5" x14ac:dyDescent="0.35">
      <c r="A166" s="11" t="s">
        <v>129</v>
      </c>
    </row>
    <row r="167" spans="1:1" x14ac:dyDescent="0.35">
      <c r="A167" s="12"/>
    </row>
    <row r="168" spans="1:1" x14ac:dyDescent="0.35">
      <c r="A168" s="12" t="s">
        <v>82</v>
      </c>
    </row>
    <row r="170" spans="1:1" ht="17.5" x14ac:dyDescent="0.35">
      <c r="A170" s="11" t="s">
        <v>142</v>
      </c>
    </row>
    <row r="171" spans="1:1" x14ac:dyDescent="0.35">
      <c r="A171" s="12"/>
    </row>
    <row r="172" spans="1:1" x14ac:dyDescent="0.35">
      <c r="A172" s="12" t="s">
        <v>83</v>
      </c>
    </row>
    <row r="173" spans="1:1" x14ac:dyDescent="0.35">
      <c r="A173" s="12"/>
    </row>
    <row r="174" spans="1:1" x14ac:dyDescent="0.35">
      <c r="A174" s="12" t="s">
        <v>84</v>
      </c>
    </row>
    <row r="175" spans="1:1" x14ac:dyDescent="0.35">
      <c r="A175" s="12"/>
    </row>
    <row r="176" spans="1:1" x14ac:dyDescent="0.35">
      <c r="A176" s="12" t="s">
        <v>85</v>
      </c>
    </row>
    <row r="177" spans="1:10" x14ac:dyDescent="0.35">
      <c r="A177" s="12"/>
    </row>
    <row r="178" spans="1:10" x14ac:dyDescent="0.35">
      <c r="A178" s="12" t="s">
        <v>86</v>
      </c>
    </row>
    <row r="179" spans="1:10" x14ac:dyDescent="0.35">
      <c r="A179" s="12"/>
    </row>
    <row r="180" spans="1:10" x14ac:dyDescent="0.35">
      <c r="A180" s="12" t="s">
        <v>87</v>
      </c>
    </row>
    <row r="182" spans="1:10" x14ac:dyDescent="0.35">
      <c r="A182" t="s">
        <v>143</v>
      </c>
      <c r="D182" t="s">
        <v>144</v>
      </c>
      <c r="E182" s="9">
        <f>1.272/0.04</f>
        <v>31.8</v>
      </c>
    </row>
    <row r="184" spans="1:10" x14ac:dyDescent="0.35">
      <c r="A184" t="s">
        <v>145</v>
      </c>
    </row>
    <row r="188" spans="1:10" ht="23.5" x14ac:dyDescent="0.35">
      <c r="A188" s="21" t="s">
        <v>146</v>
      </c>
      <c r="B188" s="22"/>
      <c r="C188" s="22"/>
      <c r="D188" s="22"/>
      <c r="E188" s="22"/>
      <c r="F188" s="22"/>
      <c r="H188" s="10"/>
    </row>
    <row r="189" spans="1:10" x14ac:dyDescent="0.35">
      <c r="A189" s="22"/>
      <c r="B189" s="22"/>
      <c r="C189" s="22"/>
      <c r="D189" s="22"/>
      <c r="E189" s="22"/>
      <c r="F189" s="22"/>
    </row>
    <row r="190" spans="1:10" ht="43.5" x14ac:dyDescent="0.35">
      <c r="A190" s="23" t="s">
        <v>88</v>
      </c>
      <c r="B190" s="23" t="s">
        <v>89</v>
      </c>
      <c r="C190" s="23" t="s">
        <v>90</v>
      </c>
      <c r="D190" s="23" t="s">
        <v>91</v>
      </c>
      <c r="E190" s="22"/>
      <c r="F190" s="22"/>
      <c r="H190" s="15"/>
      <c r="I190" s="15"/>
      <c r="J190" s="15"/>
    </row>
    <row r="191" spans="1:10" ht="58" x14ac:dyDescent="0.35">
      <c r="A191" s="24" t="s">
        <v>92</v>
      </c>
      <c r="B191" s="25" t="s">
        <v>93</v>
      </c>
      <c r="C191" s="25" t="s">
        <v>94</v>
      </c>
      <c r="D191" s="25" t="s">
        <v>95</v>
      </c>
      <c r="E191" s="22"/>
      <c r="F191" s="22"/>
      <c r="H191" s="16"/>
      <c r="I191" s="17"/>
      <c r="J191" s="17"/>
    </row>
    <row r="192" spans="1:10" ht="72.5" x14ac:dyDescent="0.35">
      <c r="A192" s="24" t="s">
        <v>96</v>
      </c>
      <c r="B192" s="25" t="s">
        <v>97</v>
      </c>
      <c r="C192" s="25" t="s">
        <v>98</v>
      </c>
      <c r="D192" s="25" t="s">
        <v>99</v>
      </c>
      <c r="E192" s="22"/>
      <c r="F192" s="22"/>
      <c r="H192" s="16"/>
      <c r="I192" s="17"/>
      <c r="J192" s="17"/>
    </row>
    <row r="193" spans="1:10" ht="101.5" x14ac:dyDescent="0.35">
      <c r="A193" s="24" t="s">
        <v>100</v>
      </c>
      <c r="B193" s="25" t="s">
        <v>101</v>
      </c>
      <c r="C193" s="25" t="s">
        <v>102</v>
      </c>
      <c r="D193" s="25" t="s">
        <v>103</v>
      </c>
      <c r="E193" s="22"/>
      <c r="F193" s="22"/>
      <c r="H193" s="16"/>
      <c r="I193" s="17"/>
      <c r="J193" s="17"/>
    </row>
    <row r="194" spans="1:10" ht="116" x14ac:dyDescent="0.35">
      <c r="A194" s="24" t="s">
        <v>104</v>
      </c>
      <c r="B194" s="25" t="s">
        <v>105</v>
      </c>
      <c r="C194" s="25" t="s">
        <v>106</v>
      </c>
      <c r="D194" s="25" t="s">
        <v>107</v>
      </c>
      <c r="E194" s="22"/>
      <c r="F194" s="22"/>
      <c r="G194" s="20"/>
      <c r="H194" s="18"/>
      <c r="I194" s="19"/>
      <c r="J194" s="19"/>
    </row>
    <row r="195" spans="1:10" ht="29" customHeight="1" x14ac:dyDescent="0.35">
      <c r="A195" s="30" t="s">
        <v>46</v>
      </c>
      <c r="B195" s="31"/>
    </row>
    <row r="196" spans="1:10" x14ac:dyDescent="0.35">
      <c r="A196" t="s">
        <v>168</v>
      </c>
    </row>
    <row r="197" spans="1:10" x14ac:dyDescent="0.35">
      <c r="A197" t="s">
        <v>169</v>
      </c>
    </row>
    <row r="200" spans="1:10" x14ac:dyDescent="0.35">
      <c r="A200" s="12"/>
    </row>
    <row r="201" spans="1:10" x14ac:dyDescent="0.35">
      <c r="A201" s="12"/>
    </row>
    <row r="202" spans="1:10" x14ac:dyDescent="0.35">
      <c r="A202" s="12"/>
    </row>
    <row r="203" spans="1:10" x14ac:dyDescent="0.35">
      <c r="A203" s="12"/>
    </row>
    <row r="204" spans="1:10" x14ac:dyDescent="0.35">
      <c r="A204" s="12"/>
    </row>
    <row r="205" spans="1:10" x14ac:dyDescent="0.35">
      <c r="A205" s="12"/>
    </row>
  </sheetData>
  <mergeCells count="4">
    <mergeCell ref="A18:D18"/>
    <mergeCell ref="A20:D20"/>
    <mergeCell ref="A22:C22"/>
    <mergeCell ref="A195:B1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19E3-BD7A-496A-94E0-40CC0A1FD5EA}">
  <dimension ref="A2:P55"/>
  <sheetViews>
    <sheetView tabSelected="1" workbookViewId="0">
      <selection activeCell="E35" sqref="E35"/>
    </sheetView>
  </sheetViews>
  <sheetFormatPr defaultRowHeight="14.5" x14ac:dyDescent="0.35"/>
  <cols>
    <col min="1" max="1" width="20.90625" customWidth="1"/>
    <col min="2" max="2" width="9.90625" bestFit="1" customWidth="1"/>
    <col min="3" max="3" width="11.6328125" customWidth="1"/>
  </cols>
  <sheetData>
    <row r="2" spans="1:15" ht="23.5" x14ac:dyDescent="0.35">
      <c r="A2" s="10" t="s">
        <v>148</v>
      </c>
    </row>
    <row r="4" spans="1:15" ht="23.5" x14ac:dyDescent="0.35">
      <c r="A4" s="10" t="s">
        <v>149</v>
      </c>
      <c r="F4" s="5"/>
    </row>
    <row r="5" spans="1:15" x14ac:dyDescent="0.35">
      <c r="F5" s="5"/>
    </row>
    <row r="6" spans="1:15" x14ac:dyDescent="0.35">
      <c r="F6" s="5"/>
    </row>
    <row r="7" spans="1:15" x14ac:dyDescent="0.35">
      <c r="A7" s="36" t="s">
        <v>2</v>
      </c>
      <c r="B7" s="36"/>
      <c r="F7" s="5"/>
    </row>
    <row r="8" spans="1:15" x14ac:dyDescent="0.35">
      <c r="A8" t="s">
        <v>3</v>
      </c>
      <c r="C8" t="s">
        <v>4</v>
      </c>
      <c r="D8" s="4">
        <v>45876</v>
      </c>
      <c r="E8" s="3"/>
      <c r="F8" t="s">
        <v>8</v>
      </c>
      <c r="I8" s="5"/>
      <c r="O8" s="3"/>
    </row>
    <row r="11" spans="1:15" x14ac:dyDescent="0.35">
      <c r="A11" s="36" t="s">
        <v>5</v>
      </c>
      <c r="B11" s="36"/>
    </row>
    <row r="12" spans="1:15" x14ac:dyDescent="0.35">
      <c r="A12" t="s">
        <v>6</v>
      </c>
      <c r="B12" t="s">
        <v>7</v>
      </c>
      <c r="D12" t="s">
        <v>8</v>
      </c>
    </row>
    <row r="13" spans="1:15" x14ac:dyDescent="0.35">
      <c r="A13" t="s">
        <v>9</v>
      </c>
      <c r="B13">
        <v>21.7</v>
      </c>
      <c r="D13" t="s">
        <v>8</v>
      </c>
    </row>
    <row r="14" spans="1:15" x14ac:dyDescent="0.35">
      <c r="A14" t="s">
        <v>10</v>
      </c>
      <c r="B14" t="s">
        <v>11</v>
      </c>
      <c r="D14" t="s">
        <v>15</v>
      </c>
    </row>
    <row r="15" spans="1:15" x14ac:dyDescent="0.35">
      <c r="A15" t="s">
        <v>152</v>
      </c>
      <c r="B15">
        <v>19.5</v>
      </c>
      <c r="D15" t="s">
        <v>8</v>
      </c>
    </row>
    <row r="16" spans="1:15" x14ac:dyDescent="0.35">
      <c r="A16" t="s">
        <v>153</v>
      </c>
      <c r="B16">
        <v>22</v>
      </c>
      <c r="D16" t="s">
        <v>8</v>
      </c>
      <c r="F16" s="33" t="s">
        <v>156</v>
      </c>
      <c r="G16" s="33"/>
      <c r="H16" s="33"/>
      <c r="I16" s="33"/>
      <c r="J16" s="33"/>
      <c r="K16" s="33"/>
      <c r="L16" s="33"/>
    </row>
    <row r="17" spans="1:16" x14ac:dyDescent="0.35">
      <c r="A17" t="s">
        <v>155</v>
      </c>
      <c r="B17" s="6">
        <v>1.0999999999999999E-2</v>
      </c>
      <c r="C17" t="s">
        <v>25</v>
      </c>
      <c r="D17" t="s">
        <v>15</v>
      </c>
      <c r="F17" s="33"/>
      <c r="G17" s="33"/>
      <c r="H17" s="33"/>
      <c r="I17" s="33"/>
      <c r="J17" s="33"/>
      <c r="K17" s="33"/>
      <c r="L17" s="33"/>
    </row>
    <row r="18" spans="1:16" x14ac:dyDescent="0.35">
      <c r="A18" t="s">
        <v>12</v>
      </c>
      <c r="B18" s="6">
        <f>(B16-B15)/B15</f>
        <v>0.12820512820512819</v>
      </c>
      <c r="K18" s="7"/>
      <c r="L18" s="7"/>
    </row>
    <row r="19" spans="1:16" x14ac:dyDescent="0.35">
      <c r="A19" s="36" t="s">
        <v>13</v>
      </c>
      <c r="B19" s="36"/>
      <c r="H19" s="7"/>
    </row>
    <row r="20" spans="1:16" x14ac:dyDescent="0.35">
      <c r="A20" t="s">
        <v>16</v>
      </c>
      <c r="B20" t="s">
        <v>17</v>
      </c>
      <c r="D20" t="s">
        <v>15</v>
      </c>
    </row>
    <row r="21" spans="1:16" x14ac:dyDescent="0.35">
      <c r="A21" s="1" t="s">
        <v>18</v>
      </c>
      <c r="F21" t="s">
        <v>31</v>
      </c>
    </row>
    <row r="22" spans="1:16" x14ac:dyDescent="0.35">
      <c r="A22" t="s">
        <v>19</v>
      </c>
      <c r="B22" t="s">
        <v>20</v>
      </c>
      <c r="C22" t="s">
        <v>21</v>
      </c>
      <c r="D22" t="s">
        <v>22</v>
      </c>
      <c r="E22" t="s">
        <v>31</v>
      </c>
      <c r="F22" s="2"/>
      <c r="G22" s="2"/>
      <c r="H22" t="s">
        <v>30</v>
      </c>
    </row>
    <row r="23" spans="1:16" x14ac:dyDescent="0.35">
      <c r="A23" t="s">
        <v>23</v>
      </c>
      <c r="B23" t="s">
        <v>24</v>
      </c>
      <c r="C23" s="35" t="s">
        <v>26</v>
      </c>
      <c r="D23" s="36"/>
      <c r="E23" s="36"/>
      <c r="G23" t="s">
        <v>30</v>
      </c>
    </row>
    <row r="24" spans="1:16" x14ac:dyDescent="0.35">
      <c r="A24" t="s">
        <v>27</v>
      </c>
      <c r="B24" t="s">
        <v>28</v>
      </c>
      <c r="D24" s="2" t="s">
        <v>29</v>
      </c>
      <c r="E24" s="2"/>
      <c r="G24" t="s">
        <v>30</v>
      </c>
    </row>
    <row r="26" spans="1:16" ht="14.5" customHeight="1" x14ac:dyDescent="0.45">
      <c r="A26" s="37" t="s">
        <v>151</v>
      </c>
      <c r="B26" s="37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6" ht="14.5" customHeight="1" x14ac:dyDescent="0.35">
      <c r="A27" t="s">
        <v>33</v>
      </c>
      <c r="B27" t="str">
        <f>B14</f>
        <v>₹22</v>
      </c>
      <c r="D27" t="s">
        <v>41</v>
      </c>
      <c r="E27">
        <f>22+22*B18</f>
        <v>24.820512820512821</v>
      </c>
      <c r="F27" s="8"/>
      <c r="G27" s="8"/>
      <c r="H27" s="33" t="s">
        <v>162</v>
      </c>
      <c r="I27" s="33"/>
      <c r="J27" s="33"/>
      <c r="K27" s="33"/>
      <c r="L27" s="33"/>
      <c r="M27" s="33"/>
      <c r="N27" s="33"/>
      <c r="O27" s="33"/>
      <c r="P27" s="8"/>
    </row>
    <row r="28" spans="1:16" x14ac:dyDescent="0.35">
      <c r="B28" s="6"/>
      <c r="D28" s="8"/>
      <c r="E28" s="8"/>
      <c r="H28" s="33"/>
      <c r="I28" s="33"/>
      <c r="J28" s="33"/>
      <c r="K28" s="33"/>
      <c r="L28" s="33"/>
      <c r="M28" s="33"/>
      <c r="N28" s="33"/>
      <c r="O28" s="33"/>
      <c r="P28" s="8"/>
    </row>
    <row r="29" spans="1:16" ht="16" customHeight="1" x14ac:dyDescent="0.35">
      <c r="A29" t="s">
        <v>34</v>
      </c>
      <c r="B29" s="35" t="s">
        <v>35</v>
      </c>
      <c r="C29" s="35"/>
      <c r="D29" s="8"/>
      <c r="E29" s="8"/>
      <c r="F29" s="14"/>
      <c r="G29" s="14"/>
      <c r="H29" s="33" t="s">
        <v>163</v>
      </c>
      <c r="I29" s="33"/>
      <c r="J29" s="33"/>
      <c r="K29" s="33"/>
      <c r="L29" s="33"/>
      <c r="M29" s="33"/>
      <c r="N29" s="33"/>
      <c r="O29" s="33"/>
      <c r="P29" s="8"/>
    </row>
    <row r="30" spans="1:16" x14ac:dyDescent="0.35">
      <c r="A30" t="s">
        <v>36</v>
      </c>
      <c r="B30" t="s">
        <v>37</v>
      </c>
      <c r="H30" s="33"/>
      <c r="I30" s="33"/>
      <c r="J30" s="33"/>
      <c r="K30" s="33"/>
      <c r="L30" s="33"/>
      <c r="M30" s="33"/>
      <c r="N30" s="33"/>
      <c r="O30" s="33"/>
      <c r="P30" s="8"/>
    </row>
    <row r="31" spans="1:16" ht="22" customHeight="1" x14ac:dyDescent="0.35">
      <c r="A31" t="s">
        <v>38</v>
      </c>
      <c r="B31" s="6">
        <v>5.4399999999999997E-2</v>
      </c>
      <c r="C31" s="34" t="s">
        <v>121</v>
      </c>
      <c r="D31" s="34"/>
      <c r="E31" s="34"/>
      <c r="F31" s="34"/>
      <c r="H31" s="33"/>
      <c r="I31" s="33"/>
      <c r="J31" s="33"/>
      <c r="K31" s="33"/>
      <c r="L31" s="33"/>
      <c r="M31" s="33"/>
      <c r="N31" s="33"/>
      <c r="O31" s="33"/>
      <c r="P31" s="8"/>
    </row>
    <row r="32" spans="1:16" x14ac:dyDescent="0.35">
      <c r="A32" t="s">
        <v>39</v>
      </c>
      <c r="B32" s="27">
        <v>0.62</v>
      </c>
      <c r="H32" s="33"/>
      <c r="I32" s="33"/>
      <c r="J32" s="33"/>
      <c r="K32" s="33"/>
      <c r="L32" s="33"/>
      <c r="M32" s="33"/>
      <c r="N32" s="33"/>
      <c r="O32" s="33"/>
      <c r="P32" s="8"/>
    </row>
    <row r="33" spans="1:16" x14ac:dyDescent="0.35">
      <c r="A33" t="s">
        <v>150</v>
      </c>
      <c r="B33" s="7">
        <v>0.18340000000000001</v>
      </c>
      <c r="D33" t="s">
        <v>170</v>
      </c>
      <c r="H33" s="33"/>
      <c r="I33" s="33"/>
      <c r="J33" s="33"/>
      <c r="K33" s="33"/>
      <c r="L33" s="33"/>
      <c r="M33" s="33"/>
      <c r="N33" s="33"/>
      <c r="O33" s="33"/>
      <c r="P33" s="8"/>
    </row>
    <row r="34" spans="1:16" x14ac:dyDescent="0.35">
      <c r="A34" t="s">
        <v>36</v>
      </c>
      <c r="B34" s="7">
        <f>B31+B32*(B33-B31)</f>
        <v>0.13438</v>
      </c>
      <c r="H34" t="s">
        <v>164</v>
      </c>
      <c r="O34" s="8"/>
      <c r="P34" s="8"/>
    </row>
    <row r="35" spans="1:16" x14ac:dyDescent="0.35">
      <c r="A35" t="s">
        <v>40</v>
      </c>
      <c r="B35" t="s">
        <v>154</v>
      </c>
      <c r="C35" s="26">
        <f>E27/(B34-B18)</f>
        <v>4019.5997010215028</v>
      </c>
      <c r="H35" s="32" t="s">
        <v>165</v>
      </c>
      <c r="I35" s="32"/>
      <c r="J35" s="32"/>
      <c r="K35" s="32"/>
      <c r="L35" s="32"/>
      <c r="M35" s="32"/>
      <c r="N35" s="32"/>
      <c r="O35" s="32"/>
      <c r="P35" s="32"/>
    </row>
    <row r="36" spans="1:16" ht="14.5" customHeight="1" x14ac:dyDescent="0.35">
      <c r="G36" s="8"/>
      <c r="H36" s="32"/>
      <c r="I36" s="32"/>
      <c r="J36" s="32"/>
      <c r="K36" s="32"/>
      <c r="L36" s="32"/>
      <c r="M36" s="32"/>
      <c r="N36" s="32"/>
      <c r="O36" s="32"/>
      <c r="P36" s="32"/>
    </row>
    <row r="37" spans="1:16" x14ac:dyDescent="0.35">
      <c r="G37" s="8"/>
      <c r="H37" s="32" t="s">
        <v>166</v>
      </c>
      <c r="I37" s="32"/>
      <c r="J37" s="32"/>
      <c r="K37" s="32"/>
      <c r="L37" s="32"/>
      <c r="M37" s="32"/>
      <c r="N37" s="32"/>
      <c r="O37" s="32"/>
      <c r="P37" s="32"/>
    </row>
    <row r="38" spans="1:16" ht="18.5" x14ac:dyDescent="0.45">
      <c r="A38" s="28" t="s">
        <v>42</v>
      </c>
      <c r="G38" s="8"/>
      <c r="H38" s="32"/>
      <c r="I38" s="32"/>
      <c r="J38" s="32"/>
      <c r="K38" s="32"/>
      <c r="L38" s="32"/>
      <c r="M38" s="32"/>
      <c r="N38" s="32"/>
      <c r="O38" s="32"/>
      <c r="P38" s="32"/>
    </row>
    <row r="39" spans="1:16" ht="14.5" customHeight="1" x14ac:dyDescent="0.35">
      <c r="A39" s="1" t="s">
        <v>158</v>
      </c>
      <c r="G39" s="8"/>
      <c r="H39" s="33" t="s">
        <v>161</v>
      </c>
      <c r="I39" s="33"/>
      <c r="J39" s="33"/>
      <c r="K39" s="33"/>
      <c r="L39" s="33"/>
      <c r="M39" s="33"/>
      <c r="N39" s="33"/>
      <c r="O39" s="33"/>
      <c r="P39" s="33"/>
    </row>
    <row r="40" spans="1:16" x14ac:dyDescent="0.35">
      <c r="A40" t="s">
        <v>43</v>
      </c>
      <c r="B40">
        <v>91.96</v>
      </c>
      <c r="H40" s="33"/>
      <c r="I40" s="33"/>
      <c r="J40" s="33"/>
      <c r="K40" s="33"/>
      <c r="L40" s="33"/>
      <c r="M40" s="33"/>
      <c r="N40" s="33"/>
      <c r="O40" s="33"/>
      <c r="P40" s="33"/>
    </row>
    <row r="41" spans="1:16" x14ac:dyDescent="0.35">
      <c r="A41" t="s">
        <v>44</v>
      </c>
      <c r="B41">
        <f>B13</f>
        <v>21.7</v>
      </c>
      <c r="C41" s="1" t="s">
        <v>157</v>
      </c>
      <c r="E41" t="s">
        <v>31</v>
      </c>
      <c r="H41" s="33"/>
      <c r="I41" s="33"/>
      <c r="J41" s="33"/>
      <c r="K41" s="33"/>
      <c r="L41" s="33"/>
      <c r="M41" s="33"/>
      <c r="N41" s="33"/>
      <c r="O41" s="33"/>
      <c r="P41" s="33"/>
    </row>
    <row r="42" spans="1:16" x14ac:dyDescent="0.35">
      <c r="A42" t="s">
        <v>40</v>
      </c>
      <c r="B42" t="s">
        <v>45</v>
      </c>
      <c r="C42" s="9">
        <f>B40*B41</f>
        <v>1995.5319999999997</v>
      </c>
    </row>
    <row r="43" spans="1:16" x14ac:dyDescent="0.35">
      <c r="A43" s="1" t="s">
        <v>159</v>
      </c>
    </row>
    <row r="44" spans="1:16" x14ac:dyDescent="0.35">
      <c r="A44" t="s">
        <v>43</v>
      </c>
      <c r="B44">
        <v>91.96</v>
      </c>
      <c r="H44" s="33" t="s">
        <v>167</v>
      </c>
      <c r="I44" s="33"/>
      <c r="J44" s="33"/>
      <c r="K44" s="33"/>
      <c r="L44" s="33"/>
      <c r="M44" s="33"/>
      <c r="N44" s="33"/>
      <c r="O44" s="33"/>
    </row>
    <row r="45" spans="1:16" x14ac:dyDescent="0.35">
      <c r="A45" t="s">
        <v>44</v>
      </c>
      <c r="B45">
        <v>12.4</v>
      </c>
      <c r="C45" s="1" t="s">
        <v>160</v>
      </c>
      <c r="E45" t="s">
        <v>31</v>
      </c>
      <c r="H45" s="33"/>
      <c r="I45" s="33"/>
      <c r="J45" s="33"/>
      <c r="K45" s="33"/>
      <c r="L45" s="33"/>
      <c r="M45" s="33"/>
      <c r="N45" s="33"/>
      <c r="O45" s="33"/>
    </row>
    <row r="46" spans="1:16" x14ac:dyDescent="0.35">
      <c r="A46" t="s">
        <v>40</v>
      </c>
      <c r="B46" t="s">
        <v>45</v>
      </c>
      <c r="C46" s="9">
        <f>B44*B45</f>
        <v>1140.3039999999999</v>
      </c>
      <c r="H46" s="33"/>
      <c r="I46" s="33"/>
      <c r="J46" s="33"/>
      <c r="K46" s="33"/>
      <c r="L46" s="33"/>
      <c r="M46" s="33"/>
      <c r="N46" s="33"/>
      <c r="O46" s="33"/>
    </row>
    <row r="49" spans="1:1" x14ac:dyDescent="0.35">
      <c r="A49" s="1" t="s">
        <v>46</v>
      </c>
    </row>
    <row r="50" spans="1:1" x14ac:dyDescent="0.35">
      <c r="A50" s="5" t="s">
        <v>0</v>
      </c>
    </row>
    <row r="51" spans="1:1" x14ac:dyDescent="0.35">
      <c r="A51" s="5" t="s">
        <v>1</v>
      </c>
    </row>
    <row r="52" spans="1:1" x14ac:dyDescent="0.35">
      <c r="A52" s="5" t="s">
        <v>32</v>
      </c>
    </row>
    <row r="53" spans="1:1" x14ac:dyDescent="0.35">
      <c r="A53" s="5" t="s">
        <v>14</v>
      </c>
    </row>
    <row r="54" spans="1:1" x14ac:dyDescent="0.35">
      <c r="A54" s="5" t="s">
        <v>122</v>
      </c>
    </row>
    <row r="55" spans="1:1" x14ac:dyDescent="0.35">
      <c r="A55" s="5"/>
    </row>
  </sheetData>
  <mergeCells count="14">
    <mergeCell ref="A7:B7"/>
    <mergeCell ref="A11:B11"/>
    <mergeCell ref="A19:B19"/>
    <mergeCell ref="C23:E23"/>
    <mergeCell ref="A26:B26"/>
    <mergeCell ref="H37:P38"/>
    <mergeCell ref="H39:P41"/>
    <mergeCell ref="H44:O46"/>
    <mergeCell ref="F16:L17"/>
    <mergeCell ref="C31:F31"/>
    <mergeCell ref="H27:O28"/>
    <mergeCell ref="H29:O33"/>
    <mergeCell ref="H35:P36"/>
    <mergeCell ref="B29:C29"/>
  </mergeCells>
  <phoneticPr fontId="8" type="noConversion"/>
  <hyperlinks>
    <hyperlink ref="A50" r:id="rId1" xr:uid="{E74B9639-6F0C-471F-806C-9A4924303F56}"/>
    <hyperlink ref="A51" r:id="rId2" location="goog_rewarded" xr:uid="{698004B0-DE80-4E19-BAB3-31A579085FFC}"/>
    <hyperlink ref="A53" r:id="rId3" xr:uid="{F2F1ECD7-2EDD-4CA1-BA0B-F0F509D1672A}"/>
    <hyperlink ref="A52" r:id="rId4" xr:uid="{C27151BE-D8A6-4D82-87DF-BB62E1144EC8}"/>
    <hyperlink ref="A54" r:id="rId5" xr:uid="{CB680FF0-1B78-4E78-8A4D-6EEF02F86E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 1</vt:lpstr>
      <vt:lpstr>Answer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Singh</dc:creator>
  <cp:lastModifiedBy>Rajat Singh</cp:lastModifiedBy>
  <dcterms:created xsi:type="dcterms:W3CDTF">2025-08-07T16:46:05Z</dcterms:created>
  <dcterms:modified xsi:type="dcterms:W3CDTF">2026-01-03T17:33:04Z</dcterms:modified>
</cp:coreProperties>
</file>