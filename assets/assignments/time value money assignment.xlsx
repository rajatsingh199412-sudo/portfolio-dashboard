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 Search\New folder\CF\"/>
    </mc:Choice>
  </mc:AlternateContent>
  <xr:revisionPtr revIDLastSave="0" documentId="13_ncr:1_{812E66E1-5684-41D5-A80C-0D9EADD1B3D4}" xr6:coauthVersionLast="47" xr6:coauthVersionMax="47" xr10:uidLastSave="{00000000-0000-0000-0000-000000000000}"/>
  <bookViews>
    <workbookView xWindow="-110" yWindow="-110" windowWidth="19420" windowHeight="10300" xr2:uid="{2EC18858-D2ED-4994-A9D3-7E70331B8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/>
  <c r="L46" i="1" s="1"/>
  <c r="E49" i="1"/>
  <c r="D49" i="1"/>
  <c r="L44" i="1"/>
  <c r="J44" i="1"/>
  <c r="C44" i="1"/>
  <c r="F45" i="1" s="1"/>
  <c r="F10" i="1"/>
  <c r="C9" i="1"/>
  <c r="C29" i="1"/>
</calcChain>
</file>

<file path=xl/sharedStrings.xml><?xml version="1.0" encoding="utf-8"?>
<sst xmlns="http://schemas.openxmlformats.org/spreadsheetml/2006/main" count="27" uniqueCount="16">
  <si>
    <t>current salary</t>
  </si>
  <si>
    <t>pv</t>
  </si>
  <si>
    <t>rate</t>
  </si>
  <si>
    <t>nper</t>
  </si>
  <si>
    <t>fv</t>
  </si>
  <si>
    <t>pmt</t>
  </si>
  <si>
    <t xml:space="preserve"> </t>
  </si>
  <si>
    <t>no discounting required as Andy is getting 850000 in front in a single payment</t>
  </si>
  <si>
    <t>upfront payment</t>
  </si>
  <si>
    <t>total pv</t>
  </si>
  <si>
    <t>Andy should consider 1st Alternative.</t>
  </si>
  <si>
    <t>Alternative 1 Total payout</t>
  </si>
  <si>
    <t>Alternative 2 Total payout</t>
  </si>
  <si>
    <t>Alternative 3 Total payout</t>
  </si>
  <si>
    <t>total payout</t>
  </si>
  <si>
    <t>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</si>
</sst>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8" fontId="0" fillId="0" borderId="0" xfId="0" applyNumberFormat="1"/>
    <xf numFmtId="0" fontId="1" fillId="0" borderId="0" xfId="0" applyFont="1"/>
    <xf numFmtId="8" fontId="1" fillId="2" borderId="0" xfId="0" applyNumberFormat="1" applyFont="1" applyFill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588466</xdr:colOff>
      <xdr:row>5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9559E-B676-569D-7133-E01C3E81B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62416" cy="9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13</xdr:row>
      <xdr:rowOff>88900</xdr:rowOff>
    </xdr:from>
    <xdr:to>
      <xdr:col>10</xdr:col>
      <xdr:colOff>476250</xdr:colOff>
      <xdr:row>18</xdr:row>
      <xdr:rowOff>88755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72B717-C1A7-1547-435C-2BF009457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2482850"/>
          <a:ext cx="7239000" cy="920605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24</xdr:row>
      <xdr:rowOff>6350</xdr:rowOff>
    </xdr:from>
    <xdr:to>
      <xdr:col>7</xdr:col>
      <xdr:colOff>139700</xdr:colOff>
      <xdr:row>27</xdr:row>
      <xdr:rowOff>169349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D67952-FF20-613A-2709-268B7A35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50" y="4425950"/>
          <a:ext cx="5054600" cy="715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10</xdr:col>
      <xdr:colOff>368300</xdr:colOff>
      <xdr:row>41</xdr:row>
      <xdr:rowOff>181544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B7E774-A7FA-C52A-19F3-FD472CD8D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261100"/>
          <a:ext cx="7232650" cy="1470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5220-AD0F-4E40-8326-A05F4EA44A95}">
  <dimension ref="A7:L59"/>
  <sheetViews>
    <sheetView tabSelected="1" topLeftCell="A36" workbookViewId="0">
      <selection activeCell="F50" sqref="F50"/>
    </sheetView>
  </sheetViews>
  <sheetFormatPr defaultRowHeight="14.5" x14ac:dyDescent="0.35"/>
  <cols>
    <col min="3" max="3" width="11.54296875" bestFit="1" customWidth="1"/>
    <col min="5" max="5" width="12.453125" bestFit="1" customWidth="1"/>
    <col min="6" max="6" width="13.1796875" bestFit="1" customWidth="1"/>
    <col min="12" max="12" width="12.453125" bestFit="1" customWidth="1"/>
  </cols>
  <sheetData>
    <row r="7" spans="1:6" x14ac:dyDescent="0.35">
      <c r="A7" t="s">
        <v>0</v>
      </c>
      <c r="C7">
        <v>60000</v>
      </c>
    </row>
    <row r="9" spans="1:6" x14ac:dyDescent="0.35">
      <c r="B9" t="s">
        <v>1</v>
      </c>
      <c r="C9" s="2">
        <f>PV(C10,C11,C12)</f>
        <v>-612044.61972475797</v>
      </c>
      <c r="E9" s="2" t="s">
        <v>8</v>
      </c>
      <c r="F9" s="2">
        <v>400000</v>
      </c>
    </row>
    <row r="10" spans="1:6" x14ac:dyDescent="0.35">
      <c r="B10" t="s">
        <v>2</v>
      </c>
      <c r="C10" s="1">
        <v>0.08</v>
      </c>
      <c r="E10" t="s">
        <v>9</v>
      </c>
      <c r="F10" s="4">
        <f>C9-F9</f>
        <v>-1012044.619724758</v>
      </c>
    </row>
    <row r="11" spans="1:6" x14ac:dyDescent="0.35">
      <c r="B11" t="s">
        <v>3</v>
      </c>
      <c r="C11">
        <v>22</v>
      </c>
    </row>
    <row r="12" spans="1:6" x14ac:dyDescent="0.35">
      <c r="B12" t="s">
        <v>5</v>
      </c>
      <c r="C12">
        <v>60000</v>
      </c>
    </row>
    <row r="20" spans="2:11" x14ac:dyDescent="0.35">
      <c r="B20" s="3" t="s">
        <v>7</v>
      </c>
    </row>
    <row r="21" spans="2:11" x14ac:dyDescent="0.35">
      <c r="B21" t="s">
        <v>1</v>
      </c>
      <c r="C21" s="3">
        <v>850000</v>
      </c>
    </row>
    <row r="27" spans="2:11" x14ac:dyDescent="0.35">
      <c r="K27" t="s">
        <v>6</v>
      </c>
    </row>
    <row r="29" spans="2:11" x14ac:dyDescent="0.35">
      <c r="B29" t="s">
        <v>1</v>
      </c>
      <c r="C29" s="5">
        <f>PV(C30,C31,C33,C32)</f>
        <v>-673903.32392969122</v>
      </c>
      <c r="E29" s="2"/>
      <c r="F29" s="2"/>
    </row>
    <row r="30" spans="2:11" x14ac:dyDescent="0.35">
      <c r="B30" t="s">
        <v>2</v>
      </c>
      <c r="C30" s="1">
        <v>0.08</v>
      </c>
      <c r="E30" s="2"/>
    </row>
    <row r="31" spans="2:11" x14ac:dyDescent="0.35">
      <c r="B31" t="s">
        <v>3</v>
      </c>
      <c r="C31">
        <v>22</v>
      </c>
    </row>
    <row r="32" spans="2:11" x14ac:dyDescent="0.35">
      <c r="B32" t="s">
        <v>4</v>
      </c>
      <c r="C32">
        <v>2000000</v>
      </c>
    </row>
    <row r="33" spans="1:12" x14ac:dyDescent="0.35">
      <c r="B33" t="s">
        <v>5</v>
      </c>
      <c r="C33">
        <v>30000</v>
      </c>
      <c r="F33" s="3" t="s">
        <v>10</v>
      </c>
    </row>
    <row r="43" spans="1:12" x14ac:dyDescent="0.35">
      <c r="A43" s="3" t="s">
        <v>15</v>
      </c>
    </row>
    <row r="44" spans="1:12" x14ac:dyDescent="0.35">
      <c r="B44" t="s">
        <v>1</v>
      </c>
      <c r="C44" s="2">
        <f>PV(C45,C46,C47)</f>
        <v>-408029.74648317194</v>
      </c>
      <c r="E44" s="2" t="s">
        <v>8</v>
      </c>
      <c r="F44" s="2">
        <v>2150000</v>
      </c>
      <c r="H44" t="s">
        <v>11</v>
      </c>
      <c r="J44">
        <f>60000*22</f>
        <v>1320000</v>
      </c>
      <c r="K44">
        <v>400000</v>
      </c>
      <c r="L44" s="3">
        <f>J44+K44</f>
        <v>1720000</v>
      </c>
    </row>
    <row r="45" spans="1:12" x14ac:dyDescent="0.35">
      <c r="B45" t="s">
        <v>2</v>
      </c>
      <c r="C45" s="1">
        <v>0.08</v>
      </c>
      <c r="E45" t="s">
        <v>9</v>
      </c>
      <c r="F45" s="4">
        <f>C44-F44</f>
        <v>-2558029.7464831718</v>
      </c>
      <c r="H45" t="s">
        <v>12</v>
      </c>
      <c r="L45" s="3">
        <v>850000</v>
      </c>
    </row>
    <row r="46" spans="1:12" x14ac:dyDescent="0.35">
      <c r="B46" t="s">
        <v>3</v>
      </c>
      <c r="C46">
        <v>22</v>
      </c>
      <c r="H46" t="s">
        <v>13</v>
      </c>
      <c r="J46">
        <f>30000*22</f>
        <v>660000</v>
      </c>
      <c r="K46">
        <v>2000000</v>
      </c>
      <c r="L46" s="3">
        <f>J46+K46</f>
        <v>2660000</v>
      </c>
    </row>
    <row r="47" spans="1:12" x14ac:dyDescent="0.35">
      <c r="B47" t="s">
        <v>5</v>
      </c>
      <c r="C47">
        <v>40000</v>
      </c>
      <c r="L47" s="2"/>
    </row>
    <row r="49" spans="1:5" x14ac:dyDescent="0.35">
      <c r="B49" t="s">
        <v>14</v>
      </c>
      <c r="D49">
        <f>C47*12</f>
        <v>480000</v>
      </c>
      <c r="E49" s="4">
        <f>D49+F44</f>
        <v>2630000</v>
      </c>
    </row>
    <row r="52" spans="1:5" x14ac:dyDescent="0.35">
      <c r="A52" s="3"/>
    </row>
    <row r="56" spans="1:5" x14ac:dyDescent="0.35">
      <c r="C56" s="3"/>
    </row>
    <row r="57" spans="1:5" x14ac:dyDescent="0.35">
      <c r="C57" s="3"/>
    </row>
    <row r="59" spans="1:5" x14ac:dyDescent="0.35">
      <c r="B5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2025-07-28T11:37:17Z</dcterms:created>
  <dcterms:modified xsi:type="dcterms:W3CDTF">2025-12-30T18:30:25Z</dcterms:modified>
</cp:coreProperties>
</file>