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Job Search\New folder\CF\"/>
    </mc:Choice>
  </mc:AlternateContent>
  <xr:revisionPtr revIDLastSave="0" documentId="13_ncr:1_{7742C1C6-0790-4FCE-A976-F950640F4332}" xr6:coauthVersionLast="47" xr6:coauthVersionMax="47" xr10:uidLastSave="{00000000-0000-0000-0000-000000000000}"/>
  <bookViews>
    <workbookView xWindow="-110" yWindow="-110" windowWidth="19420" windowHeight="10300" xr2:uid="{6CEB5B3B-CCCF-412C-86E9-A2165C974B1A}"/>
  </bookViews>
  <sheets>
    <sheet name="Answer 1" sheetId="1" r:id="rId1"/>
    <sheet name="Answer 2" sheetId="2" r:id="rId2"/>
    <sheet name="Answer 3" sheetId="3" r:id="rId3"/>
    <sheet name="Answer 4" sheetId="4" r:id="rId4"/>
    <sheet name="Answer 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2" l="1"/>
  <c r="I16" i="4"/>
  <c r="B22" i="4" s="1"/>
  <c r="B23" i="4" s="1"/>
  <c r="C21" i="4" s="1"/>
  <c r="J8" i="4"/>
  <c r="L7" i="4"/>
  <c r="L6" i="4"/>
  <c r="L5" i="4"/>
  <c r="L4" i="4"/>
  <c r="L8" i="4" s="1"/>
  <c r="D21" i="4"/>
  <c r="E21" i="4" s="1"/>
  <c r="M20" i="2"/>
  <c r="N20" i="2" s="1"/>
  <c r="B21" i="4"/>
  <c r="E16" i="4"/>
  <c r="C23" i="3"/>
  <c r="E12" i="3"/>
  <c r="D22" i="4" l="1"/>
  <c r="E22" i="4" s="1"/>
  <c r="C22" i="4"/>
  <c r="C25" i="4" l="1"/>
</calcChain>
</file>

<file path=xl/sharedStrings.xml><?xml version="1.0" encoding="utf-8"?>
<sst xmlns="http://schemas.openxmlformats.org/spreadsheetml/2006/main" count="127" uniqueCount="107">
  <si>
    <t>The cost of capital is the least amount of money that the company ought to make as far as its investments are concerned in order to please its investors (both debt and equity investors).</t>
  </si>
  <si>
    <t>Cost of Capital</t>
  </si>
  <si>
    <t>It represents the opportunity cost of the funds which investor would have got if invest elsewhere with similar risk instrument.</t>
  </si>
  <si>
    <t>WACC = E/V​ × Re + D/V​ × Rd × (1−T)</t>
  </si>
  <si>
    <r>
      <t>E</t>
    </r>
    <r>
      <rPr>
        <sz val="11"/>
        <color theme="1"/>
        <rFont val="Aptos Narrow"/>
        <family val="2"/>
        <scheme val="minor"/>
      </rPr>
      <t xml:space="preserve"> = market value of equity</t>
    </r>
  </si>
  <si>
    <r>
      <t>D</t>
    </r>
    <r>
      <rPr>
        <sz val="11"/>
        <color theme="1"/>
        <rFont val="Aptos Narrow"/>
        <family val="2"/>
        <scheme val="minor"/>
      </rPr>
      <t xml:space="preserve"> = market value of debt</t>
    </r>
  </si>
  <si>
    <r>
      <t>V = E + D</t>
    </r>
    <r>
      <rPr>
        <sz val="11"/>
        <color theme="1"/>
        <rFont val="Aptos Narrow"/>
        <family val="2"/>
        <scheme val="minor"/>
      </rPr>
      <t xml:space="preserve"> = total capital</t>
    </r>
  </si>
  <si>
    <r>
      <t>Re</t>
    </r>
    <r>
      <rPr>
        <sz val="11"/>
        <color theme="1"/>
        <rFont val="Aptos Narrow"/>
        <family val="2"/>
        <scheme val="minor"/>
      </rPr>
      <t xml:space="preserve"> = cost of equity (usually via CAPM)</t>
    </r>
  </si>
  <si>
    <r>
      <t>Rd</t>
    </r>
    <r>
      <rPr>
        <sz val="11"/>
        <color theme="1"/>
        <rFont val="Aptos Narrow"/>
        <family val="2"/>
        <scheme val="minor"/>
      </rPr>
      <t xml:space="preserve"> = cost of debt (interest rate adjusted for risk)</t>
    </r>
  </si>
  <si>
    <r>
      <t>T</t>
    </r>
    <r>
      <rPr>
        <sz val="11"/>
        <color theme="1"/>
        <rFont val="Aptos Narrow"/>
        <family val="2"/>
        <scheme val="minor"/>
      </rPr>
      <t xml:space="preserve"> = corporate tax rate (because interest is tax-deductible)</t>
    </r>
  </si>
  <si>
    <t>Importance of Cost of Capital</t>
  </si>
  <si>
    <t>Helpful in investment decisions</t>
  </si>
  <si>
    <t>Companies use WAAC as benchmark rate, when they evaluate the projects.</t>
  </si>
  <si>
    <t>In general IRR should be greater than the WAAC.</t>
  </si>
  <si>
    <r>
      <rPr>
        <b/>
        <sz val="11"/>
        <color theme="1"/>
        <rFont val="Aptos Narrow"/>
        <family val="2"/>
        <scheme val="minor"/>
      </rPr>
      <t>Example:</t>
    </r>
    <r>
      <rPr>
        <sz val="11"/>
        <color theme="1"/>
        <rFont val="Aptos Narrow"/>
        <family val="2"/>
        <scheme val="minor"/>
      </rPr>
      <t xml:space="preserve">  If Domino's has WAAC of 8% and they are considering adopting new technology, in that case if IRR is 12 % then project is beneficial.</t>
    </r>
  </si>
  <si>
    <t>Helpful in finding Valuation of the firm</t>
  </si>
  <si>
    <t>lower the WAAC ---- Higher the present value of Cash Flow ------ higher the firm value</t>
  </si>
  <si>
    <t>Helpful in capital structures decisions</t>
  </si>
  <si>
    <t>It helps to decide the mix of debt and equity</t>
  </si>
  <si>
    <t>Helpful in risk assessment</t>
  </si>
  <si>
    <t>Cost of Debt</t>
  </si>
  <si>
    <t>Rf</t>
  </si>
  <si>
    <t>Domino's tax rate has ranged between 28-31 percent from 2015-2019 which spiked to 34.6 in the year 2020.</t>
  </si>
  <si>
    <t>If I take average of all then ,</t>
  </si>
  <si>
    <t>sum</t>
  </si>
  <si>
    <t>average</t>
  </si>
  <si>
    <t>Cost of Equity</t>
  </si>
  <si>
    <t>Coney should use CAPM meathod as it is most widely accepted and used.</t>
  </si>
  <si>
    <t>(case study)</t>
  </si>
  <si>
    <t>CAPM meathod</t>
  </si>
  <si>
    <t>Re​ = Rf​ + β × (Rm​−Rf​)</t>
  </si>
  <si>
    <t>10-year Australian Government bond yield = 0.81%</t>
  </si>
  <si>
    <t>Domino is based in multiple markets (Australia, Japan, Europe) and has a convenient degree of diversification hence its long- run risk would be more market-close.</t>
  </si>
  <si>
    <t>Adjusted Beta</t>
  </si>
  <si>
    <t>Average</t>
  </si>
  <si>
    <t>In the long run, the risk of the company will dissipate towards market average which is Beta = 1.</t>
  </si>
  <si>
    <t>Adjusted beta may seem more accurate to the estimates as used by analysts and financial practitioners who make forward-looking estimates on their WACC applications on future projects.</t>
  </si>
  <si>
    <t>instead of taking 2 adjustd Beta values, taking the average would be more feasible option.</t>
  </si>
  <si>
    <t>Low</t>
  </si>
  <si>
    <t>High</t>
  </si>
  <si>
    <t>MRP (Market Risk Premium)</t>
  </si>
  <si>
    <t>Rm - Rf</t>
  </si>
  <si>
    <t>in 2020</t>
  </si>
  <si>
    <t>Bloomberg</t>
  </si>
  <si>
    <t>Re</t>
  </si>
  <si>
    <t>WAAC</t>
  </si>
  <si>
    <t>WACC = E/V ​× Re​ + D/V ​× Rd ​× (1−T)</t>
  </si>
  <si>
    <t>V = E + D</t>
  </si>
  <si>
    <r>
      <t>T</t>
    </r>
    <r>
      <rPr>
        <sz val="11"/>
        <color theme="1"/>
        <rFont val="Aptos Narrow"/>
        <family val="2"/>
        <scheme val="minor"/>
      </rPr>
      <t xml:space="preserve"> = corporate tax rate</t>
    </r>
  </si>
  <si>
    <r>
      <t>Re</t>
    </r>
    <r>
      <rPr>
        <sz val="11"/>
        <color theme="1"/>
        <rFont val="Aptos Narrow"/>
        <family val="2"/>
        <scheme val="minor"/>
      </rPr>
      <t xml:space="preserve"> = cost of equity</t>
    </r>
  </si>
  <si>
    <r>
      <t>Rd</t>
    </r>
    <r>
      <rPr>
        <sz val="11"/>
        <color theme="1"/>
        <rFont val="Aptos Narrow"/>
        <family val="2"/>
        <scheme val="minor"/>
      </rPr>
      <t xml:space="preserve"> = cost of debt</t>
    </r>
  </si>
  <si>
    <t>(Total value of debt + equity)</t>
  </si>
  <si>
    <t>cost (post tax)</t>
  </si>
  <si>
    <t>Equity</t>
  </si>
  <si>
    <t>Debt</t>
  </si>
  <si>
    <t>WACC is a lowest level required rate of return to shareholders and the debt holders.</t>
  </si>
  <si>
    <t>WAAC is used in various ways for evaluating future projects</t>
  </si>
  <si>
    <r>
      <t xml:space="preserve">A project is accepted only if its </t>
    </r>
    <r>
      <rPr>
        <b/>
        <sz val="11"/>
        <color theme="1"/>
        <rFont val="Aptos Narrow"/>
        <family val="2"/>
        <scheme val="minor"/>
      </rPr>
      <t>IRR &gt; WACC</t>
    </r>
  </si>
  <si>
    <t>In the discounted cash flow (DCF) models, WACC is employed as a discount rate.</t>
  </si>
  <si>
    <t>This will enable the firm to bring the future cash inflows of a project to present value in order to evaluate it.</t>
  </si>
  <si>
    <t>It is a figure of the return they could have expected elsewhere, with the same level of risk.</t>
  </si>
  <si>
    <t>it sees that the company cannot undertake projects that give less to investors which they require.</t>
  </si>
  <si>
    <t>Projects with returns below WACC destroy value and should be rejected.</t>
  </si>
  <si>
    <t>Projects with returns above WACC add value and should be funded.</t>
  </si>
  <si>
    <t>Although WACC offers a minimum hurdle, there may be projects that are riskier and they may need to be above WACC.</t>
  </si>
  <si>
    <t>This makes it fair among the projects of varying risk.</t>
  </si>
  <si>
    <t>Calculating T (corporate tax)</t>
  </si>
  <si>
    <t>(Exhibit 6)</t>
  </si>
  <si>
    <t>(case study Exhibit 4)</t>
  </si>
  <si>
    <t>References</t>
  </si>
  <si>
    <t>Outstanding Shares</t>
  </si>
  <si>
    <t>Debts</t>
  </si>
  <si>
    <t>weight</t>
  </si>
  <si>
    <t>cost(pre tax)</t>
  </si>
  <si>
    <t>WAAC on Market Value</t>
  </si>
  <si>
    <t>Value</t>
  </si>
  <si>
    <t>Bank Loans</t>
  </si>
  <si>
    <t>Other Bank Loans</t>
  </si>
  <si>
    <t>Loans from other entities</t>
  </si>
  <si>
    <t>cost of debt</t>
  </si>
  <si>
    <t>Intrest</t>
  </si>
  <si>
    <t>Intrest Rate</t>
  </si>
  <si>
    <r>
      <t xml:space="preserve">Damodaran, A. (2015). </t>
    </r>
    <r>
      <rPr>
        <i/>
        <sz val="11"/>
        <color theme="1"/>
        <rFont val="Aptos Narrow"/>
        <family val="2"/>
        <scheme val="minor"/>
      </rPr>
      <t>Applied corporate finance</t>
    </r>
    <r>
      <rPr>
        <sz val="11"/>
        <color theme="1"/>
        <rFont val="Aptos Narrow"/>
        <family val="2"/>
        <scheme val="minor"/>
      </rPr>
      <t xml:space="preserve"> (4th ed.). Hoboken, NJ: Wiley.</t>
    </r>
  </si>
  <si>
    <t>Exhibit 3</t>
  </si>
  <si>
    <t>no of shares</t>
  </si>
  <si>
    <t>share price</t>
  </si>
  <si>
    <t>total value</t>
  </si>
  <si>
    <t>As the tax rate is not given for 2021 and not fixed and not steadily increased I am taking average of it.</t>
  </si>
  <si>
    <t>lease libility</t>
  </si>
  <si>
    <r>
      <t xml:space="preserve">Brealey, R. A., Myers, S. C., &amp; Allen, F. (2020). </t>
    </r>
    <r>
      <rPr>
        <i/>
        <sz val="11"/>
        <color theme="1"/>
        <rFont val="Aptos Narrow"/>
        <family val="2"/>
        <scheme val="minor"/>
      </rPr>
      <t>Principles of corporate finance</t>
    </r>
    <r>
      <rPr>
        <sz val="11"/>
        <color theme="1"/>
        <rFont val="Aptos Narrow"/>
        <family val="2"/>
        <scheme val="minor"/>
      </rPr>
      <t xml:space="preserve"> (13th ed.). New York, NY: McGraw-Hill Education.</t>
    </r>
  </si>
  <si>
    <r>
      <t xml:space="preserve">Ross, S. A., Westerfield, R., Jaffe, J., &amp; Jordan, B. D. (2019). </t>
    </r>
    <r>
      <rPr>
        <i/>
        <sz val="11"/>
        <color theme="1"/>
        <rFont val="Aptos Narrow"/>
        <family val="2"/>
        <scheme val="minor"/>
      </rPr>
      <t>Corporate finance</t>
    </r>
    <r>
      <rPr>
        <sz val="11"/>
        <color theme="1"/>
        <rFont val="Aptos Narrow"/>
        <family val="2"/>
        <scheme val="minor"/>
      </rPr>
      <t xml:space="preserve"> (12th ed.). New York, NY: McGraw-Hill Education.</t>
    </r>
  </si>
  <si>
    <r>
      <t xml:space="preserve">Tsuji, C. (2013). The impact of the weighted average cost of capital on investment evaluation: A theoretical approach. </t>
    </r>
    <r>
      <rPr>
        <i/>
        <sz val="11"/>
        <color theme="1"/>
        <rFont val="Aptos Narrow"/>
        <family val="2"/>
        <scheme val="minor"/>
      </rPr>
      <t>International Journal of Business and Management, 8</t>
    </r>
    <r>
      <rPr>
        <sz val="11"/>
        <color theme="1"/>
        <rFont val="Aptos Narrow"/>
        <family val="2"/>
        <scheme val="minor"/>
      </rPr>
      <t>(12), 111–120. https://doi.org/10.5539/ijbm.v8n12p111</t>
    </r>
  </si>
  <si>
    <r>
      <t xml:space="preserve">Damodaran, A. (2012). </t>
    </r>
    <r>
      <rPr>
        <i/>
        <sz val="11"/>
        <color theme="1"/>
        <rFont val="Aptos Narrow"/>
        <family val="2"/>
        <scheme val="minor"/>
      </rPr>
      <t>Investment valuation: Tools and techniques for determining the value of any asset</t>
    </r>
    <r>
      <rPr>
        <sz val="11"/>
        <color theme="1"/>
        <rFont val="Aptos Narrow"/>
        <family val="2"/>
        <scheme val="minor"/>
      </rPr>
      <t xml:space="preserve"> (3rd ed.). Hoboken, NJ: Wiley.</t>
    </r>
  </si>
  <si>
    <t>https://pages.stern.nyu.edu/~adamodar/New_Home_Page/books/val3E.html</t>
  </si>
  <si>
    <r>
      <t xml:space="preserve">lume, M. E. (1975). Betas and their regression tendencies. </t>
    </r>
    <r>
      <rPr>
        <i/>
        <sz val="11"/>
        <color theme="1"/>
        <rFont val="Aptos Narrow"/>
        <family val="2"/>
        <scheme val="minor"/>
      </rPr>
      <t>The Journal of Finance, 30</t>
    </r>
    <r>
      <rPr>
        <sz val="11"/>
        <color theme="1"/>
        <rFont val="Aptos Narrow"/>
        <family val="2"/>
        <scheme val="minor"/>
      </rPr>
      <t>(3), 785–795.</t>
    </r>
  </si>
  <si>
    <t>https://doi.org/10.2307/2326726</t>
  </si>
  <si>
    <t>https://www.mheducation.com/highered/product/principles-corporate-finance-brealey-myers/M9781260013900.html</t>
  </si>
  <si>
    <t>https://www.wiley.com/en-us/Applied+Corporate+Finance%2C+4th+Edition-p-9781118808931</t>
  </si>
  <si>
    <t>https://www.mheducation.com/highered/product/corporate-finance-ross-westerfield/M9781260013900.html</t>
  </si>
  <si>
    <t>tax benefit(interest)</t>
  </si>
  <si>
    <t>Exhibit 6</t>
  </si>
  <si>
    <t>Exhibit 7</t>
  </si>
  <si>
    <t>total liability</t>
  </si>
  <si>
    <r>
      <t xml:space="preserve">Domino’s Pizza Enterprises Limited. (2020). </t>
    </r>
    <r>
      <rPr>
        <i/>
        <sz val="11"/>
        <color theme="1"/>
        <rFont val="Aptos Narrow"/>
        <family val="2"/>
        <scheme val="minor"/>
      </rPr>
      <t>Annual Report 2020: Financial Statements (Income Statement and Balance Sheet)</t>
    </r>
    <r>
      <rPr>
        <sz val="11"/>
        <color theme="1"/>
        <rFont val="Aptos Narrow"/>
        <family val="2"/>
        <scheme val="minor"/>
      </rPr>
      <t xml:space="preserve">. In M. Winkler, C. Southam, &amp; P. Beamish, </t>
    </r>
    <r>
      <rPr>
        <i/>
        <sz val="11"/>
        <color theme="1"/>
        <rFont val="Aptos Narrow"/>
        <family val="2"/>
        <scheme val="minor"/>
      </rPr>
      <t>Domino’s Pizza Enterprises (Australia): Weighted Average Cost of Capital</t>
    </r>
    <r>
      <rPr>
        <sz val="11"/>
        <color theme="1"/>
        <rFont val="Aptos Narrow"/>
        <family val="2"/>
        <scheme val="minor"/>
      </rPr>
      <t xml:space="preserve"> (Ivey Publishing, Case W25568).</t>
    </r>
  </si>
  <si>
    <t>https://www.iveypublishing.ca/s/product/dominos-pizza-enterprises-australia-weighted-average-cost-of-capital/</t>
  </si>
  <si>
    <t>cost of debt  =  interest/total liability</t>
  </si>
  <si>
    <r>
      <t xml:space="preserve">Winkler, M., Southam, C., &amp; Beamish, P. (2021). </t>
    </r>
    <r>
      <rPr>
        <i/>
        <sz val="11"/>
        <color theme="1"/>
        <rFont val="Aptos Narrow"/>
        <family val="2"/>
        <scheme val="minor"/>
      </rPr>
      <t>Domino’s Pizza Enterprises (Australia): Weighted Average Cost of Capital</t>
    </r>
    <r>
      <rPr>
        <sz val="11"/>
        <color theme="1"/>
        <rFont val="Aptos Narrow"/>
        <family val="2"/>
        <scheme val="minor"/>
      </rPr>
      <t xml:space="preserve"> (Ivey Publishing Case No. W25568). London, Ontario: Ivey Business School Foundation.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</si>
</sst>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
      <b/>
      <sz val="18"/>
      <color theme="1"/>
      <name val="Aptos Narrow"/>
      <family val="2"/>
      <scheme val="minor"/>
    </font>
    <font>
      <i/>
      <sz val="11"/>
      <color theme="1"/>
      <name val="Aptos Narrow"/>
      <family val="2"/>
      <scheme val="minor"/>
    </font>
    <font>
      <b/>
      <sz val="12"/>
      <color theme="1"/>
      <name val="Aptos Narrow"/>
      <family val="2"/>
      <scheme val="minor"/>
    </font>
    <font>
      <sz val="8"/>
      <name val="Aptos Narrow"/>
      <family val="2"/>
      <scheme val="minor"/>
    </font>
    <font>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s>
  <borders count="2">
    <border>
      <left/>
      <right/>
      <top/>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0" fontId="3" fillId="0" borderId="0" xfId="0" applyFont="1"/>
    <xf numFmtId="0" fontId="5" fillId="0" borderId="0" xfId="0" applyFont="1"/>
    <xf numFmtId="0" fontId="2" fillId="0" borderId="0" xfId="0" applyFont="1"/>
    <xf numFmtId="0" fontId="4" fillId="0" borderId="0" xfId="0" applyFont="1"/>
    <xf numFmtId="10" fontId="0" fillId="0" borderId="0" xfId="0" applyNumberFormat="1"/>
    <xf numFmtId="0" fontId="0" fillId="0" borderId="0" xfId="0" applyAlignment="1">
      <alignment horizontal="left" vertical="center" indent="1"/>
    </xf>
    <xf numFmtId="10" fontId="2" fillId="2" borderId="0" xfId="1" applyNumberFormat="1" applyFont="1" applyFill="1"/>
    <xf numFmtId="10" fontId="2" fillId="2" borderId="0" xfId="0" applyNumberFormat="1" applyFont="1" applyFill="1"/>
    <xf numFmtId="0" fontId="2" fillId="2" borderId="0" xfId="0" applyFont="1" applyFill="1"/>
    <xf numFmtId="0" fontId="2" fillId="0" borderId="0" xfId="0" applyFont="1" applyAlignment="1">
      <alignment horizontal="left" vertical="center" indent="1"/>
    </xf>
    <xf numFmtId="0" fontId="0" fillId="0" borderId="0" xfId="0" applyAlignment="1">
      <alignment wrapText="1"/>
    </xf>
    <xf numFmtId="0" fontId="0" fillId="0" borderId="0" xfId="0" applyAlignment="1">
      <alignment horizontal="center" wrapText="1"/>
    </xf>
    <xf numFmtId="0" fontId="2" fillId="0" borderId="0" xfId="0" applyFont="1" applyAlignment="1">
      <alignment horizontal="center"/>
    </xf>
    <xf numFmtId="2" fontId="0" fillId="0" borderId="0" xfId="0" applyNumberFormat="1"/>
    <xf numFmtId="0" fontId="7" fillId="3" borderId="0" xfId="0" applyFont="1" applyFill="1"/>
    <xf numFmtId="0" fontId="0" fillId="3" borderId="0" xfId="0" applyFill="1"/>
    <xf numFmtId="0" fontId="0" fillId="0" borderId="0" xfId="0" applyAlignment="1">
      <alignment vertical="center"/>
    </xf>
    <xf numFmtId="9" fontId="0" fillId="0" borderId="0" xfId="1" applyFont="1" applyAlignment="1"/>
    <xf numFmtId="10" fontId="0" fillId="0" borderId="0" xfId="1" applyNumberFormat="1" applyFont="1" applyAlignment="1"/>
    <xf numFmtId="0" fontId="2" fillId="0" borderId="0" xfId="0" applyFont="1" applyAlignment="1">
      <alignment wrapText="1"/>
    </xf>
    <xf numFmtId="10" fontId="2" fillId="2" borderId="0" xfId="1" applyNumberFormat="1" applyFont="1" applyFill="1" applyAlignment="1"/>
    <xf numFmtId="0" fontId="7" fillId="0" borderId="0" xfId="0" applyFont="1"/>
    <xf numFmtId="0" fontId="9" fillId="0" borderId="0" xfId="0" applyFont="1"/>
    <xf numFmtId="0" fontId="0" fillId="0" borderId="1" xfId="0" applyBorder="1"/>
    <xf numFmtId="0" fontId="0" fillId="0" borderId="1" xfId="0" applyBorder="1" applyAlignment="1">
      <alignment wrapText="1"/>
    </xf>
    <xf numFmtId="0" fontId="0" fillId="0" borderId="0" xfId="0" applyAlignment="1">
      <alignment horizontal="center" wrapText="1"/>
    </xf>
    <xf numFmtId="0" fontId="4" fillId="0" borderId="0" xfId="0" applyFont="1" applyAlignment="1">
      <alignment horizontal="center" vertical="center" wrapText="1"/>
    </xf>
    <xf numFmtId="0" fontId="0" fillId="0" borderId="0" xfId="0" applyAlignment="1">
      <alignment horizontal="left" vertical="top" wrapText="1"/>
    </xf>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D50A1-6147-4B7E-A908-85AC5E5756C0}">
  <dimension ref="A2:Q32"/>
  <sheetViews>
    <sheetView tabSelected="1" topLeftCell="A21" workbookViewId="0">
      <selection activeCell="I26" sqref="I26"/>
    </sheetView>
  </sheetViews>
  <sheetFormatPr defaultRowHeight="14.5" x14ac:dyDescent="0.35"/>
  <sheetData>
    <row r="2" spans="1:17" ht="23.5" x14ac:dyDescent="0.55000000000000004">
      <c r="A2" s="2" t="s">
        <v>1</v>
      </c>
      <c r="K2" s="4" t="s">
        <v>10</v>
      </c>
    </row>
    <row r="4" spans="1:17" x14ac:dyDescent="0.35">
      <c r="J4">
        <v>1</v>
      </c>
      <c r="K4" s="3" t="s">
        <v>11</v>
      </c>
    </row>
    <row r="5" spans="1:17" x14ac:dyDescent="0.35">
      <c r="A5" s="26" t="s">
        <v>0</v>
      </c>
      <c r="B5" s="26"/>
      <c r="C5" s="26"/>
      <c r="D5" s="26"/>
      <c r="E5" s="26"/>
      <c r="F5" s="26"/>
      <c r="G5" s="26"/>
      <c r="H5" s="26"/>
      <c r="K5" t="s">
        <v>12</v>
      </c>
    </row>
    <row r="6" spans="1:17" x14ac:dyDescent="0.35">
      <c r="A6" s="26"/>
      <c r="B6" s="26"/>
      <c r="C6" s="26"/>
      <c r="D6" s="26"/>
      <c r="E6" s="26"/>
      <c r="F6" s="26"/>
      <c r="G6" s="26"/>
      <c r="H6" s="26"/>
      <c r="K6" t="s">
        <v>13</v>
      </c>
    </row>
    <row r="7" spans="1:17" x14ac:dyDescent="0.35">
      <c r="A7" s="26"/>
      <c r="B7" s="26"/>
      <c r="C7" s="26"/>
      <c r="D7" s="26"/>
      <c r="E7" s="26"/>
      <c r="F7" s="26"/>
      <c r="G7" s="26"/>
      <c r="H7" s="26"/>
      <c r="K7" s="28" t="s">
        <v>14</v>
      </c>
      <c r="L7" s="28"/>
      <c r="M7" s="28"/>
      <c r="N7" s="28"/>
      <c r="O7" s="28"/>
      <c r="P7" s="28"/>
      <c r="Q7" s="28"/>
    </row>
    <row r="8" spans="1:17" x14ac:dyDescent="0.35">
      <c r="A8" s="26" t="s">
        <v>2</v>
      </c>
      <c r="B8" s="26"/>
      <c r="C8" s="26"/>
      <c r="D8" s="26"/>
      <c r="E8" s="26"/>
      <c r="F8" s="26"/>
      <c r="G8" s="26"/>
      <c r="K8" s="28"/>
      <c r="L8" s="28"/>
      <c r="M8" s="28"/>
      <c r="N8" s="28"/>
      <c r="O8" s="28"/>
      <c r="P8" s="28"/>
      <c r="Q8" s="28"/>
    </row>
    <row r="9" spans="1:17" x14ac:dyDescent="0.35">
      <c r="A9" s="26"/>
      <c r="B9" s="26"/>
      <c r="C9" s="26"/>
      <c r="D9" s="26"/>
      <c r="E9" s="26"/>
      <c r="F9" s="26"/>
      <c r="G9" s="26"/>
      <c r="K9" s="28"/>
      <c r="L9" s="28"/>
      <c r="M9" s="28"/>
      <c r="N9" s="28"/>
      <c r="O9" s="28"/>
      <c r="P9" s="28"/>
      <c r="Q9" s="28"/>
    </row>
    <row r="10" spans="1:17" x14ac:dyDescent="0.35">
      <c r="J10">
        <v>2</v>
      </c>
      <c r="K10" s="3" t="s">
        <v>15</v>
      </c>
    </row>
    <row r="11" spans="1:17" ht="14.5" customHeight="1" x14ac:dyDescent="0.35">
      <c r="A11" s="27" t="s">
        <v>3</v>
      </c>
      <c r="B11" s="27"/>
      <c r="C11" s="27"/>
      <c r="D11" s="27"/>
      <c r="E11" s="27"/>
      <c r="K11" t="s">
        <v>16</v>
      </c>
    </row>
    <row r="12" spans="1:17" ht="14.5" customHeight="1" x14ac:dyDescent="0.35">
      <c r="A12" s="27"/>
      <c r="B12" s="27"/>
      <c r="C12" s="27"/>
      <c r="D12" s="27"/>
      <c r="E12" s="27"/>
    </row>
    <row r="13" spans="1:17" x14ac:dyDescent="0.35">
      <c r="J13">
        <v>3</v>
      </c>
      <c r="K13" s="3" t="s">
        <v>17</v>
      </c>
    </row>
    <row r="14" spans="1:17" x14ac:dyDescent="0.35">
      <c r="A14" s="3" t="s">
        <v>4</v>
      </c>
      <c r="K14" t="s">
        <v>18</v>
      </c>
    </row>
    <row r="16" spans="1:17" x14ac:dyDescent="0.35">
      <c r="A16" s="3" t="s">
        <v>5</v>
      </c>
      <c r="J16">
        <v>4</v>
      </c>
      <c r="K16" s="3" t="s">
        <v>19</v>
      </c>
    </row>
    <row r="18" spans="1:12" x14ac:dyDescent="0.35">
      <c r="A18" s="3" t="s">
        <v>6</v>
      </c>
    </row>
    <row r="20" spans="1:12" x14ac:dyDescent="0.35">
      <c r="A20" s="3" t="s">
        <v>7</v>
      </c>
    </row>
    <row r="22" spans="1:12" x14ac:dyDescent="0.35">
      <c r="A22" s="3" t="s">
        <v>8</v>
      </c>
    </row>
    <row r="24" spans="1:12" x14ac:dyDescent="0.35">
      <c r="A24" s="3" t="s">
        <v>9</v>
      </c>
    </row>
    <row r="27" spans="1:12" x14ac:dyDescent="0.35">
      <c r="A27" s="3" t="s">
        <v>69</v>
      </c>
    </row>
    <row r="28" spans="1:12" x14ac:dyDescent="0.35">
      <c r="A28" t="s">
        <v>89</v>
      </c>
    </row>
    <row r="29" spans="1:12" x14ac:dyDescent="0.35">
      <c r="A29" t="s">
        <v>82</v>
      </c>
    </row>
    <row r="30" spans="1:12" x14ac:dyDescent="0.35">
      <c r="A30" t="s">
        <v>90</v>
      </c>
    </row>
    <row r="31" spans="1:12" x14ac:dyDescent="0.35">
      <c r="A31" s="26" t="s">
        <v>91</v>
      </c>
      <c r="B31" s="26"/>
      <c r="C31" s="26"/>
      <c r="D31" s="26"/>
      <c r="E31" s="26"/>
      <c r="F31" s="26"/>
      <c r="G31" s="26"/>
      <c r="H31" s="26"/>
      <c r="I31" s="26"/>
      <c r="J31" s="26"/>
      <c r="K31" s="26"/>
      <c r="L31" s="26"/>
    </row>
    <row r="32" spans="1:12" x14ac:dyDescent="0.35">
      <c r="A32" s="26"/>
      <c r="B32" s="26"/>
      <c r="C32" s="26"/>
      <c r="D32" s="26"/>
      <c r="E32" s="26"/>
      <c r="F32" s="26"/>
      <c r="G32" s="26"/>
      <c r="H32" s="26"/>
      <c r="I32" s="26"/>
      <c r="J32" s="26"/>
      <c r="K32" s="26"/>
      <c r="L32" s="26"/>
    </row>
  </sheetData>
  <mergeCells count="5">
    <mergeCell ref="A5:H7"/>
    <mergeCell ref="A8:G9"/>
    <mergeCell ref="A11:E12"/>
    <mergeCell ref="K7:Q9"/>
    <mergeCell ref="A31:L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60953-5735-412A-867A-067939D4F405}">
  <dimension ref="A1:P55"/>
  <sheetViews>
    <sheetView workbookViewId="0">
      <selection activeCell="M28" sqref="M28"/>
    </sheetView>
  </sheetViews>
  <sheetFormatPr defaultRowHeight="14.5" x14ac:dyDescent="0.35"/>
  <cols>
    <col min="1" max="1" width="16.1796875" customWidth="1"/>
    <col min="2" max="2" width="14" customWidth="1"/>
    <col min="3" max="3" width="10.26953125" customWidth="1"/>
    <col min="4" max="5" width="10.81640625" customWidth="1"/>
    <col min="6" max="6" width="10.81640625" bestFit="1" customWidth="1"/>
    <col min="11" max="11" width="9.1796875" customWidth="1"/>
    <col min="12" max="12" width="11.81640625" bestFit="1" customWidth="1"/>
  </cols>
  <sheetData>
    <row r="1" spans="1:12" ht="21" x14ac:dyDescent="0.5">
      <c r="A1" s="1" t="s">
        <v>20</v>
      </c>
    </row>
    <row r="3" spans="1:12" x14ac:dyDescent="0.35">
      <c r="A3" t="s">
        <v>99</v>
      </c>
      <c r="B3">
        <v>605000000</v>
      </c>
      <c r="D3" t="s">
        <v>100</v>
      </c>
      <c r="E3" s="5"/>
    </row>
    <row r="4" spans="1:12" x14ac:dyDescent="0.35">
      <c r="A4" t="s">
        <v>102</v>
      </c>
      <c r="B4">
        <v>20777000000</v>
      </c>
      <c r="D4" t="s">
        <v>101</v>
      </c>
      <c r="E4" s="5"/>
    </row>
    <row r="5" spans="1:12" x14ac:dyDescent="0.35">
      <c r="B5" s="19"/>
      <c r="E5" s="5"/>
    </row>
    <row r="6" spans="1:12" x14ac:dyDescent="0.35">
      <c r="C6" s="29" t="s">
        <v>105</v>
      </c>
      <c r="D6" s="29"/>
      <c r="E6" s="29"/>
      <c r="L6" s="19"/>
    </row>
    <row r="7" spans="1:12" x14ac:dyDescent="0.35">
      <c r="E7" s="5"/>
    </row>
    <row r="9" spans="1:12" x14ac:dyDescent="0.35">
      <c r="C9" s="9" t="s">
        <v>79</v>
      </c>
      <c r="D9" s="21">
        <f>B3/B4</f>
        <v>2.9118737065023825E-2</v>
      </c>
      <c r="E9" s="18"/>
    </row>
    <row r="10" spans="1:12" ht="14.5" customHeight="1" x14ac:dyDescent="0.35"/>
    <row r="11" spans="1:12" ht="14.5" customHeight="1" x14ac:dyDescent="0.35">
      <c r="A11" s="11"/>
      <c r="B11" s="11"/>
      <c r="C11" s="11"/>
      <c r="D11" s="11"/>
      <c r="E11" s="11"/>
      <c r="F11" s="11"/>
      <c r="G11" s="11"/>
      <c r="H11" s="11"/>
      <c r="I11" s="11"/>
      <c r="J11" s="11"/>
      <c r="K11" s="11"/>
    </row>
    <row r="12" spans="1:12" x14ac:dyDescent="0.35">
      <c r="A12" s="11"/>
      <c r="B12" s="11"/>
      <c r="C12" s="11"/>
      <c r="D12" s="11"/>
      <c r="E12" s="11"/>
      <c r="F12" s="11"/>
      <c r="G12" s="11"/>
      <c r="H12" s="11"/>
      <c r="I12" s="11"/>
      <c r="J12" s="11"/>
      <c r="K12" s="11"/>
    </row>
    <row r="13" spans="1:12" x14ac:dyDescent="0.35">
      <c r="A13" s="11"/>
      <c r="B13" s="11"/>
      <c r="C13" s="11"/>
      <c r="D13" s="11"/>
      <c r="E13" s="11"/>
      <c r="F13" s="11"/>
      <c r="G13" s="11"/>
      <c r="H13" s="11"/>
      <c r="I13" s="11"/>
      <c r="J13" s="11"/>
      <c r="K13" s="11"/>
    </row>
    <row r="14" spans="1:12" x14ac:dyDescent="0.35">
      <c r="A14" s="11"/>
      <c r="B14" s="11"/>
      <c r="C14" s="11"/>
      <c r="D14" s="11"/>
      <c r="E14" s="11"/>
      <c r="F14" s="11"/>
      <c r="G14" s="11"/>
      <c r="H14" s="11"/>
      <c r="I14" s="11"/>
      <c r="J14" s="11"/>
    </row>
    <row r="15" spans="1:12" x14ac:dyDescent="0.35">
      <c r="A15" s="11"/>
      <c r="B15" s="11"/>
      <c r="C15" s="11"/>
      <c r="D15" s="11"/>
      <c r="E15" s="11"/>
      <c r="F15" s="11"/>
      <c r="G15" s="11"/>
      <c r="H15" s="11"/>
      <c r="I15" s="11"/>
      <c r="J15" s="11"/>
      <c r="K15" s="11"/>
    </row>
    <row r="16" spans="1:12" x14ac:dyDescent="0.35">
      <c r="A16" s="11"/>
      <c r="B16" s="11"/>
      <c r="C16" s="11"/>
      <c r="D16" s="11"/>
      <c r="E16" s="11"/>
      <c r="F16" s="11"/>
      <c r="G16" s="11"/>
      <c r="H16" s="11"/>
      <c r="I16" s="11"/>
      <c r="J16" s="11"/>
      <c r="K16" s="11"/>
    </row>
    <row r="17" spans="1:16" x14ac:dyDescent="0.35">
      <c r="A17" s="12"/>
      <c r="B17" s="12"/>
      <c r="C17" s="12"/>
      <c r="D17" s="12"/>
      <c r="E17" s="12"/>
      <c r="F17" s="12"/>
      <c r="G17" s="12"/>
      <c r="H17" s="12"/>
      <c r="I17" s="12"/>
      <c r="J17" s="11"/>
      <c r="K17" s="11"/>
    </row>
    <row r="18" spans="1:16" x14ac:dyDescent="0.35">
      <c r="A18" s="29" t="s">
        <v>66</v>
      </c>
      <c r="B18" s="29"/>
      <c r="C18" s="29"/>
      <c r="D18" s="30" t="s">
        <v>22</v>
      </c>
      <c r="E18" s="30"/>
      <c r="F18" s="30"/>
      <c r="G18" s="30"/>
      <c r="H18" s="30"/>
      <c r="I18" s="30"/>
      <c r="J18" s="30"/>
      <c r="K18" s="30"/>
      <c r="L18" s="30"/>
      <c r="M18" s="30"/>
    </row>
    <row r="19" spans="1:16" x14ac:dyDescent="0.35">
      <c r="D19" t="s">
        <v>23</v>
      </c>
      <c r="G19">
        <v>2015</v>
      </c>
      <c r="H19">
        <v>2016</v>
      </c>
      <c r="I19">
        <v>2017</v>
      </c>
      <c r="J19">
        <v>2018</v>
      </c>
      <c r="K19">
        <v>2019</v>
      </c>
      <c r="L19">
        <v>2020</v>
      </c>
      <c r="M19" t="s">
        <v>24</v>
      </c>
      <c r="N19" t="s">
        <v>25</v>
      </c>
      <c r="P19" t="s">
        <v>67</v>
      </c>
    </row>
    <row r="20" spans="1:16" x14ac:dyDescent="0.35">
      <c r="C20" s="5"/>
      <c r="E20" s="3"/>
      <c r="F20" s="3"/>
      <c r="G20" s="5">
        <v>0.30070000000000002</v>
      </c>
      <c r="H20" s="5">
        <v>0.31180000000000002</v>
      </c>
      <c r="I20" s="5">
        <v>0.29780000000000001</v>
      </c>
      <c r="J20" s="5">
        <v>0.30249999999999999</v>
      </c>
      <c r="K20" s="5">
        <v>0.28249999999999997</v>
      </c>
      <c r="L20" s="5">
        <v>0.34589999999999999</v>
      </c>
      <c r="M20" s="5">
        <f>SUM(G20:L20)</f>
        <v>1.8412000000000002</v>
      </c>
      <c r="N20" s="7">
        <f>M20/6</f>
        <v>0.30686666666666668</v>
      </c>
    </row>
    <row r="21" spans="1:16" x14ac:dyDescent="0.35">
      <c r="A21" s="29" t="s">
        <v>87</v>
      </c>
      <c r="B21" s="29"/>
      <c r="C21" s="29"/>
      <c r="D21" s="29"/>
      <c r="E21" s="29"/>
      <c r="F21" s="29"/>
      <c r="G21" s="29"/>
      <c r="H21" s="29"/>
      <c r="I21" s="29"/>
    </row>
    <row r="22" spans="1:16" ht="14.5" customHeight="1" x14ac:dyDescent="0.35">
      <c r="A22" s="13"/>
      <c r="B22" s="17"/>
      <c r="C22" s="17"/>
      <c r="D22" s="17"/>
      <c r="E22" s="17"/>
      <c r="F22" s="17"/>
      <c r="G22" s="17"/>
      <c r="H22" s="17"/>
    </row>
    <row r="23" spans="1:16" x14ac:dyDescent="0.35">
      <c r="A23" s="12"/>
    </row>
    <row r="24" spans="1:16" ht="18.5" customHeight="1" x14ac:dyDescent="0.35">
      <c r="A24" s="11"/>
    </row>
    <row r="25" spans="1:16" x14ac:dyDescent="0.35">
      <c r="A25" s="20" t="s">
        <v>69</v>
      </c>
    </row>
    <row r="26" spans="1:16" ht="14.5" customHeight="1" x14ac:dyDescent="0.35">
      <c r="A26" s="26" t="s">
        <v>103</v>
      </c>
      <c r="B26" s="26"/>
      <c r="C26" s="26"/>
      <c r="D26" s="26"/>
      <c r="E26" s="26"/>
      <c r="F26" s="26"/>
      <c r="G26" s="26"/>
      <c r="H26" s="26"/>
      <c r="I26" s="26"/>
      <c r="J26" s="26"/>
      <c r="K26" s="26"/>
    </row>
    <row r="27" spans="1:16" x14ac:dyDescent="0.35">
      <c r="A27" s="26"/>
      <c r="B27" s="26"/>
      <c r="C27" s="26"/>
      <c r="D27" s="26"/>
      <c r="E27" s="26"/>
      <c r="F27" s="26"/>
      <c r="G27" s="26"/>
      <c r="H27" s="26"/>
      <c r="I27" s="26"/>
      <c r="J27" s="26"/>
      <c r="K27" s="26"/>
    </row>
    <row r="28" spans="1:16" x14ac:dyDescent="0.35">
      <c r="A28" t="s">
        <v>104</v>
      </c>
    </row>
    <row r="36" spans="1:13" ht="18.5" customHeight="1" x14ac:dyDescent="0.35"/>
    <row r="37" spans="1:13" x14ac:dyDescent="0.35">
      <c r="B37" s="13"/>
      <c r="C37" s="13"/>
      <c r="D37" s="30"/>
      <c r="E37" s="30"/>
      <c r="F37" s="30"/>
      <c r="G37" s="30"/>
      <c r="H37" s="30"/>
      <c r="I37" s="30"/>
      <c r="J37" s="30"/>
      <c r="K37" s="30"/>
      <c r="L37" s="30"/>
      <c r="M37" s="30"/>
    </row>
    <row r="39" spans="1:13" x14ac:dyDescent="0.35">
      <c r="C39" s="5"/>
      <c r="E39" s="3"/>
      <c r="F39" s="3"/>
      <c r="G39" s="5"/>
      <c r="H39" s="5"/>
      <c r="I39" s="5"/>
      <c r="J39" s="5"/>
      <c r="K39" s="5"/>
      <c r="L39" s="5"/>
      <c r="M39" s="5"/>
    </row>
    <row r="40" spans="1:13" x14ac:dyDescent="0.35">
      <c r="B40" s="29"/>
      <c r="C40" s="29"/>
      <c r="D40" s="29"/>
      <c r="E40" s="29"/>
      <c r="F40" s="29"/>
      <c r="G40" s="29"/>
      <c r="H40" s="29"/>
      <c r="I40" s="29"/>
    </row>
    <row r="41" spans="1:13" x14ac:dyDescent="0.35">
      <c r="A41" s="13"/>
      <c r="B41" s="17"/>
      <c r="C41" s="17"/>
      <c r="D41" s="17"/>
      <c r="E41" s="17"/>
      <c r="F41" s="17"/>
      <c r="G41" s="17"/>
      <c r="H41" s="17"/>
    </row>
    <row r="42" spans="1:13" x14ac:dyDescent="0.35">
      <c r="A42" s="6"/>
      <c r="B42" s="17"/>
      <c r="C42" s="17"/>
      <c r="D42" s="17"/>
      <c r="E42" s="17"/>
      <c r="F42" s="17"/>
      <c r="G42" s="17"/>
      <c r="H42" s="17"/>
    </row>
    <row r="43" spans="1:13" x14ac:dyDescent="0.35">
      <c r="B43" s="17"/>
      <c r="C43" s="17"/>
      <c r="D43" s="17"/>
      <c r="E43" s="17"/>
      <c r="F43" s="17"/>
      <c r="G43" s="17"/>
      <c r="H43" s="17"/>
    </row>
    <row r="44" spans="1:13" x14ac:dyDescent="0.35">
      <c r="B44" s="17"/>
      <c r="C44" s="17"/>
      <c r="D44" s="17"/>
      <c r="E44" s="17"/>
      <c r="F44" s="17"/>
      <c r="G44" s="17"/>
      <c r="H44" s="17"/>
    </row>
    <row r="45" spans="1:13" x14ac:dyDescent="0.35">
      <c r="A45" s="17"/>
      <c r="B45" s="17"/>
      <c r="C45" s="17"/>
      <c r="D45" s="17"/>
      <c r="E45" s="17"/>
      <c r="F45" s="17"/>
      <c r="G45" s="17"/>
      <c r="H45" s="17"/>
    </row>
    <row r="46" spans="1:13" x14ac:dyDescent="0.35">
      <c r="A46" s="17"/>
      <c r="B46" s="17"/>
      <c r="C46" s="17"/>
      <c r="D46" s="17"/>
      <c r="E46" s="17"/>
      <c r="F46" s="17"/>
      <c r="G46" s="17"/>
      <c r="H46" s="17"/>
    </row>
    <row r="47" spans="1:13" x14ac:dyDescent="0.35">
      <c r="A47" s="17"/>
      <c r="B47" s="17"/>
      <c r="C47" s="17"/>
      <c r="D47" s="17"/>
      <c r="E47" s="17"/>
      <c r="F47" s="17"/>
      <c r="G47" s="17"/>
      <c r="H47" s="17"/>
    </row>
    <row r="48" spans="1:13" x14ac:dyDescent="0.35">
      <c r="A48" s="17"/>
      <c r="B48" s="17"/>
      <c r="C48" s="17"/>
      <c r="D48" s="17"/>
      <c r="E48" s="17"/>
      <c r="F48" s="17"/>
      <c r="G48" s="17"/>
      <c r="H48" s="17"/>
    </row>
    <row r="49" spans="1:8" x14ac:dyDescent="0.35">
      <c r="A49" s="17"/>
      <c r="B49" s="17"/>
      <c r="C49" s="17"/>
      <c r="D49" s="17"/>
      <c r="E49" s="17"/>
      <c r="F49" s="17"/>
      <c r="G49" s="17"/>
      <c r="H49" s="17"/>
    </row>
    <row r="50" spans="1:8" x14ac:dyDescent="0.35">
      <c r="A50" s="17"/>
      <c r="B50" s="17"/>
      <c r="C50" s="17"/>
      <c r="D50" s="17"/>
      <c r="E50" s="17"/>
      <c r="F50" s="17"/>
      <c r="G50" s="17"/>
      <c r="H50" s="17"/>
    </row>
    <row r="51" spans="1:8" x14ac:dyDescent="0.35">
      <c r="A51" s="17"/>
      <c r="B51" s="17"/>
      <c r="C51" s="17"/>
      <c r="D51" s="17"/>
      <c r="E51" s="17"/>
      <c r="F51" s="17"/>
      <c r="G51" s="17"/>
      <c r="H51" s="17"/>
    </row>
    <row r="52" spans="1:8" x14ac:dyDescent="0.35">
      <c r="A52" s="17"/>
    </row>
    <row r="53" spans="1:8" x14ac:dyDescent="0.35">
      <c r="A53" s="17"/>
    </row>
    <row r="54" spans="1:8" x14ac:dyDescent="0.35">
      <c r="A54" s="17"/>
    </row>
    <row r="55" spans="1:8" x14ac:dyDescent="0.35">
      <c r="A55" s="17"/>
    </row>
  </sheetData>
  <mergeCells count="7">
    <mergeCell ref="B40:I40"/>
    <mergeCell ref="D37:M37"/>
    <mergeCell ref="A21:I21"/>
    <mergeCell ref="C6:E6"/>
    <mergeCell ref="A26:K27"/>
    <mergeCell ref="D18:M18"/>
    <mergeCell ref="A18:C18"/>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C536E-E546-4CBB-915D-E595AB8E9EA9}">
  <dimension ref="A1:N29"/>
  <sheetViews>
    <sheetView workbookViewId="0">
      <selection activeCell="M15" sqref="M15"/>
    </sheetView>
  </sheetViews>
  <sheetFormatPr defaultRowHeight="14.5" x14ac:dyDescent="0.35"/>
  <cols>
    <col min="3" max="3" width="10.90625" bestFit="1" customWidth="1"/>
    <col min="5" max="5" width="9.36328125" customWidth="1"/>
    <col min="9" max="9" width="10.1796875" customWidth="1"/>
  </cols>
  <sheetData>
    <row r="1" spans="1:14" ht="21" x14ac:dyDescent="0.5">
      <c r="A1" s="1" t="s">
        <v>26</v>
      </c>
    </row>
    <row r="3" spans="1:14" x14ac:dyDescent="0.35">
      <c r="A3" s="30" t="s">
        <v>27</v>
      </c>
      <c r="B3" s="30"/>
      <c r="C3" s="30"/>
      <c r="D3" s="30"/>
      <c r="E3" s="30"/>
      <c r="F3" s="30"/>
      <c r="G3" s="30"/>
      <c r="I3" t="s">
        <v>28</v>
      </c>
    </row>
    <row r="5" spans="1:14" x14ac:dyDescent="0.35">
      <c r="B5" s="3" t="s">
        <v>29</v>
      </c>
    </row>
    <row r="6" spans="1:14" x14ac:dyDescent="0.35">
      <c r="B6" t="s">
        <v>30</v>
      </c>
    </row>
    <row r="7" spans="1:14" x14ac:dyDescent="0.35">
      <c r="A7" s="30" t="s">
        <v>31</v>
      </c>
      <c r="B7" s="30"/>
      <c r="C7" s="30"/>
      <c r="D7" s="30"/>
      <c r="E7" s="30"/>
      <c r="G7" s="3"/>
    </row>
    <row r="8" spans="1:14" x14ac:dyDescent="0.35">
      <c r="B8" t="s">
        <v>21</v>
      </c>
      <c r="C8" s="8">
        <v>8.0999999999999996E-3</v>
      </c>
      <c r="F8" t="s">
        <v>68</v>
      </c>
    </row>
    <row r="9" spans="1:14" x14ac:dyDescent="0.35">
      <c r="C9" s="5"/>
    </row>
    <row r="10" spans="1:14" x14ac:dyDescent="0.35">
      <c r="B10" t="s">
        <v>33</v>
      </c>
      <c r="C10" s="5"/>
      <c r="D10" t="s">
        <v>38</v>
      </c>
      <c r="E10">
        <v>0.94</v>
      </c>
      <c r="G10" t="s">
        <v>28</v>
      </c>
      <c r="I10" t="s">
        <v>43</v>
      </c>
    </row>
    <row r="11" spans="1:14" x14ac:dyDescent="0.35">
      <c r="C11" s="5"/>
      <c r="D11" t="s">
        <v>39</v>
      </c>
      <c r="E11">
        <v>1.07</v>
      </c>
      <c r="G11" t="s">
        <v>28</v>
      </c>
      <c r="I11" t="s">
        <v>43</v>
      </c>
    </row>
    <row r="12" spans="1:14" x14ac:dyDescent="0.35">
      <c r="C12" s="5"/>
      <c r="D12" t="s">
        <v>34</v>
      </c>
      <c r="E12" s="9">
        <f>(E11+E10)/2</f>
        <v>1.0049999999999999</v>
      </c>
      <c r="F12" s="30" t="s">
        <v>37</v>
      </c>
      <c r="G12" s="30"/>
      <c r="H12" s="30"/>
      <c r="I12" s="30"/>
      <c r="J12" s="30"/>
      <c r="K12" s="30"/>
      <c r="L12" s="30"/>
      <c r="M12" s="30"/>
      <c r="N12" s="30"/>
    </row>
    <row r="14" spans="1:14" x14ac:dyDescent="0.35">
      <c r="A14" s="30" t="s">
        <v>35</v>
      </c>
      <c r="B14" s="30"/>
      <c r="C14" s="30"/>
      <c r="D14" s="30"/>
      <c r="E14" s="30"/>
      <c r="F14" s="30"/>
      <c r="G14" s="30"/>
      <c r="H14" s="30"/>
      <c r="I14" s="30"/>
    </row>
    <row r="15" spans="1:14" x14ac:dyDescent="0.35">
      <c r="A15" s="26" t="s">
        <v>32</v>
      </c>
      <c r="B15" s="26"/>
      <c r="C15" s="26"/>
      <c r="D15" s="26"/>
      <c r="E15" s="26"/>
      <c r="F15" s="26"/>
      <c r="G15" s="26"/>
      <c r="H15" s="26"/>
      <c r="I15" s="26"/>
    </row>
    <row r="16" spans="1:14" x14ac:dyDescent="0.35">
      <c r="A16" s="26"/>
      <c r="B16" s="26"/>
      <c r="C16" s="26"/>
      <c r="D16" s="26"/>
      <c r="E16" s="26"/>
      <c r="F16" s="26"/>
      <c r="G16" s="26"/>
      <c r="H16" s="26"/>
      <c r="I16" s="26"/>
    </row>
    <row r="17" spans="1:9" x14ac:dyDescent="0.35">
      <c r="A17" s="26" t="s">
        <v>36</v>
      </c>
      <c r="B17" s="26"/>
      <c r="C17" s="26"/>
      <c r="D17" s="26"/>
      <c r="E17" s="26"/>
      <c r="F17" s="26"/>
      <c r="G17" s="26"/>
      <c r="H17" s="26"/>
      <c r="I17" s="26"/>
    </row>
    <row r="18" spans="1:9" x14ac:dyDescent="0.35">
      <c r="A18" s="26"/>
      <c r="B18" s="26"/>
      <c r="C18" s="26"/>
      <c r="D18" s="26"/>
      <c r="E18" s="26"/>
      <c r="F18" s="26"/>
      <c r="G18" s="26"/>
      <c r="H18" s="26"/>
      <c r="I18" s="26"/>
    </row>
    <row r="20" spans="1:9" x14ac:dyDescent="0.35">
      <c r="B20" t="s">
        <v>40</v>
      </c>
    </row>
    <row r="21" spans="1:9" x14ac:dyDescent="0.35">
      <c r="B21" t="s">
        <v>41</v>
      </c>
      <c r="C21" s="8">
        <v>6.25E-2</v>
      </c>
      <c r="D21" t="s">
        <v>42</v>
      </c>
      <c r="E21" t="s">
        <v>43</v>
      </c>
      <c r="F21" t="s">
        <v>28</v>
      </c>
    </row>
    <row r="23" spans="1:9" x14ac:dyDescent="0.35">
      <c r="B23" t="s">
        <v>44</v>
      </c>
      <c r="C23" s="8">
        <f>C8+(E12*C21)</f>
        <v>7.0912499999999989E-2</v>
      </c>
    </row>
    <row r="26" spans="1:9" x14ac:dyDescent="0.35">
      <c r="A26" t="s">
        <v>92</v>
      </c>
    </row>
    <row r="27" spans="1:9" x14ac:dyDescent="0.35">
      <c r="A27" t="s">
        <v>93</v>
      </c>
    </row>
    <row r="28" spans="1:9" x14ac:dyDescent="0.35">
      <c r="A28" t="s">
        <v>94</v>
      </c>
    </row>
    <row r="29" spans="1:9" x14ac:dyDescent="0.35">
      <c r="A29" t="s">
        <v>95</v>
      </c>
    </row>
  </sheetData>
  <mergeCells count="6">
    <mergeCell ref="A17:I18"/>
    <mergeCell ref="F12:N12"/>
    <mergeCell ref="A3:G3"/>
    <mergeCell ref="A7:E7"/>
    <mergeCell ref="A14:I14"/>
    <mergeCell ref="A15:I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9710-7E47-4726-A273-D3B000F10366}">
  <dimension ref="A1:Q29"/>
  <sheetViews>
    <sheetView workbookViewId="0">
      <selection activeCell="L24" sqref="L24"/>
    </sheetView>
  </sheetViews>
  <sheetFormatPr defaultRowHeight="14.5" x14ac:dyDescent="0.35"/>
  <cols>
    <col min="2" max="2" width="11.08984375" customWidth="1"/>
    <col min="3" max="3" width="11.6328125" customWidth="1"/>
    <col min="4" max="4" width="10.1796875" customWidth="1"/>
    <col min="5" max="5" width="12.90625" customWidth="1"/>
    <col min="6" max="6" width="12.1796875" customWidth="1"/>
    <col min="7" max="7" width="11.90625" customWidth="1"/>
    <col min="8" max="8" width="12.08984375" customWidth="1"/>
    <col min="9" max="9" width="11.36328125" customWidth="1"/>
    <col min="10" max="10" width="12.26953125" customWidth="1"/>
    <col min="11" max="11" width="10.81640625" bestFit="1" customWidth="1"/>
    <col min="12" max="12" width="9.81640625" bestFit="1" customWidth="1"/>
    <col min="13" max="13" width="11.36328125" customWidth="1"/>
    <col min="14" max="14" width="12.08984375" customWidth="1"/>
    <col min="16" max="16" width="10.81640625" customWidth="1"/>
    <col min="17" max="17" width="12.1796875" customWidth="1"/>
  </cols>
  <sheetData>
    <row r="1" spans="1:17" ht="21" x14ac:dyDescent="0.5">
      <c r="A1" s="1" t="s">
        <v>45</v>
      </c>
      <c r="B1" s="1"/>
      <c r="I1" s="22"/>
      <c r="J1" s="22"/>
      <c r="K1" s="22"/>
      <c r="L1" s="22"/>
      <c r="M1" s="22"/>
      <c r="N1" s="22"/>
      <c r="O1" s="22"/>
    </row>
    <row r="2" spans="1:17" ht="16" x14ac:dyDescent="0.4">
      <c r="B2" s="22"/>
      <c r="C2" s="22"/>
      <c r="I2" s="22"/>
      <c r="J2" s="22"/>
      <c r="K2" s="22"/>
      <c r="L2" s="22"/>
      <c r="M2" s="22"/>
      <c r="N2" s="22"/>
      <c r="O2" s="22"/>
    </row>
    <row r="3" spans="1:17" ht="14.5" customHeight="1" x14ac:dyDescent="0.4">
      <c r="B3" s="29" t="s">
        <v>46</v>
      </c>
      <c r="C3" s="29"/>
      <c r="D3" s="29"/>
      <c r="E3" s="29"/>
      <c r="J3" t="s">
        <v>54</v>
      </c>
      <c r="K3" t="s">
        <v>81</v>
      </c>
      <c r="L3" t="s">
        <v>80</v>
      </c>
      <c r="O3" s="22"/>
    </row>
    <row r="4" spans="1:17" ht="14.5" customHeight="1" x14ac:dyDescent="0.4">
      <c r="A4" s="10" t="s">
        <v>4</v>
      </c>
      <c r="G4" t="s">
        <v>76</v>
      </c>
      <c r="J4">
        <v>621263000</v>
      </c>
      <c r="K4" s="5">
        <v>1.8100000000000002E-2</v>
      </c>
      <c r="L4">
        <f>K4*J4</f>
        <v>11244860.300000001</v>
      </c>
      <c r="N4" t="s">
        <v>83</v>
      </c>
      <c r="O4" s="22"/>
    </row>
    <row r="5" spans="1:17" ht="14.5" customHeight="1" x14ac:dyDescent="0.4">
      <c r="A5" s="10" t="s">
        <v>5</v>
      </c>
      <c r="G5" t="s">
        <v>77</v>
      </c>
      <c r="J5">
        <v>50195000</v>
      </c>
      <c r="K5" s="5">
        <v>7.7000000000000002E-3</v>
      </c>
      <c r="L5">
        <f t="shared" ref="L5:L6" si="0">K5*J5</f>
        <v>386501.5</v>
      </c>
      <c r="N5" t="s">
        <v>83</v>
      </c>
      <c r="O5" s="22"/>
    </row>
    <row r="6" spans="1:17" ht="14.5" customHeight="1" x14ac:dyDescent="0.4">
      <c r="A6" s="10" t="s">
        <v>47</v>
      </c>
      <c r="B6" t="s">
        <v>51</v>
      </c>
      <c r="G6" t="s">
        <v>78</v>
      </c>
      <c r="J6">
        <v>35978000</v>
      </c>
      <c r="K6" s="5">
        <v>2.7E-2</v>
      </c>
      <c r="L6">
        <f t="shared" si="0"/>
        <v>971406</v>
      </c>
      <c r="N6" t="s">
        <v>83</v>
      </c>
      <c r="O6" s="22"/>
    </row>
    <row r="7" spans="1:17" ht="14.5" customHeight="1" x14ac:dyDescent="0.4">
      <c r="A7" s="10" t="s">
        <v>49</v>
      </c>
      <c r="G7" t="s">
        <v>88</v>
      </c>
      <c r="J7">
        <v>768252000</v>
      </c>
      <c r="K7" s="5">
        <v>9.7000000000000003E-3</v>
      </c>
      <c r="L7">
        <f>J7*K7</f>
        <v>7452044.4000000004</v>
      </c>
      <c r="N7" t="s">
        <v>83</v>
      </c>
      <c r="O7" s="22"/>
    </row>
    <row r="8" spans="1:17" ht="16" customHeight="1" x14ac:dyDescent="0.4">
      <c r="A8" s="10" t="s">
        <v>50</v>
      </c>
      <c r="J8">
        <f>SUM(J4:J7)</f>
        <v>1475688000</v>
      </c>
      <c r="K8" s="5"/>
      <c r="L8">
        <f>SUM(L4:L7)</f>
        <v>20054812.200000003</v>
      </c>
      <c r="O8" s="22"/>
    </row>
    <row r="9" spans="1:17" ht="14.5" customHeight="1" x14ac:dyDescent="0.4">
      <c r="A9" s="10" t="s">
        <v>48</v>
      </c>
      <c r="I9" s="22"/>
      <c r="J9" s="22"/>
      <c r="K9" s="22"/>
      <c r="L9" s="22"/>
      <c r="M9" s="22"/>
      <c r="N9" s="22"/>
      <c r="O9" s="22"/>
    </row>
    <row r="10" spans="1:17" ht="14.5" customHeight="1" x14ac:dyDescent="0.4">
      <c r="A10" s="10"/>
      <c r="I10" s="22"/>
      <c r="J10" s="22"/>
      <c r="K10" s="22"/>
      <c r="L10" s="22"/>
      <c r="M10" s="22"/>
      <c r="N10" s="22"/>
      <c r="O10" s="22"/>
    </row>
    <row r="11" spans="1:17" ht="14.5" customHeight="1" x14ac:dyDescent="0.4">
      <c r="A11" s="6"/>
      <c r="C11" s="5"/>
      <c r="D11" s="3"/>
      <c r="I11" s="22"/>
      <c r="J11" s="22"/>
      <c r="K11" s="22"/>
      <c r="L11" s="22"/>
      <c r="M11" s="22"/>
      <c r="N11" s="22"/>
      <c r="O11" s="22"/>
      <c r="P11" s="5"/>
      <c r="Q11" s="5"/>
    </row>
    <row r="12" spans="1:17" ht="14.5" customHeight="1" x14ac:dyDescent="0.4">
      <c r="I12" s="22"/>
      <c r="J12" s="22"/>
      <c r="K12" s="22"/>
      <c r="L12" s="22"/>
      <c r="M12" s="22"/>
      <c r="N12" s="22"/>
      <c r="O12" s="22"/>
      <c r="P12" s="5"/>
      <c r="Q12" s="5"/>
    </row>
    <row r="13" spans="1:17" ht="16" x14ac:dyDescent="0.4">
      <c r="B13" s="15" t="s">
        <v>74</v>
      </c>
      <c r="C13" s="16"/>
      <c r="I13" s="22"/>
      <c r="J13" s="22"/>
      <c r="K13" s="22"/>
      <c r="L13" s="22"/>
      <c r="M13" s="22"/>
      <c r="N13" s="22"/>
      <c r="O13" s="22"/>
    </row>
    <row r="14" spans="1:17" ht="14.5" customHeight="1" x14ac:dyDescent="0.4">
      <c r="G14" s="24"/>
      <c r="I14" s="22"/>
      <c r="J14" s="22"/>
      <c r="K14" s="22"/>
      <c r="L14" s="22"/>
      <c r="M14" s="22"/>
      <c r="N14" s="22"/>
      <c r="O14" s="22"/>
    </row>
    <row r="15" spans="1:17" ht="14.5" customHeight="1" x14ac:dyDescent="0.4">
      <c r="C15" t="s">
        <v>84</v>
      </c>
      <c r="D15" t="s">
        <v>85</v>
      </c>
      <c r="E15" s="3" t="s">
        <v>86</v>
      </c>
      <c r="G15" s="25"/>
      <c r="H15" s="11"/>
      <c r="I15" s="22" t="s">
        <v>86</v>
      </c>
      <c r="J15" s="22"/>
      <c r="K15" s="22"/>
      <c r="L15" s="22"/>
      <c r="M15" s="22"/>
      <c r="N15" s="22"/>
      <c r="O15" s="22"/>
    </row>
    <row r="16" spans="1:17" ht="14.5" customHeight="1" x14ac:dyDescent="0.4">
      <c r="A16" t="s">
        <v>70</v>
      </c>
      <c r="C16">
        <v>86240000</v>
      </c>
      <c r="D16">
        <v>84.7</v>
      </c>
      <c r="E16" s="3">
        <f>C16*D16</f>
        <v>7304528000</v>
      </c>
      <c r="F16" s="14" t="s">
        <v>28</v>
      </c>
      <c r="G16" s="24"/>
      <c r="H16" s="24" t="s">
        <v>71</v>
      </c>
      <c r="I16" s="3">
        <f>J8</f>
        <v>1475688000</v>
      </c>
      <c r="J16" s="23" t="s">
        <v>83</v>
      </c>
      <c r="K16" s="22"/>
      <c r="L16" s="22"/>
      <c r="M16" s="22"/>
      <c r="N16" s="22"/>
      <c r="O16" s="22"/>
    </row>
    <row r="17" spans="1:15" ht="14.5" customHeight="1" x14ac:dyDescent="0.4">
      <c r="C17" s="3"/>
      <c r="F17" s="14"/>
      <c r="G17" s="25"/>
      <c r="H17" s="11"/>
      <c r="I17" s="22"/>
      <c r="J17" s="22"/>
      <c r="K17" s="22"/>
      <c r="L17" s="22"/>
      <c r="M17" s="22"/>
      <c r="N17" s="22"/>
      <c r="O17" s="22"/>
    </row>
    <row r="18" spans="1:15" ht="14.5" customHeight="1" x14ac:dyDescent="0.4">
      <c r="G18" s="11"/>
      <c r="H18" s="11"/>
      <c r="I18" s="22"/>
      <c r="J18" s="22"/>
      <c r="K18" s="22"/>
      <c r="L18" s="22"/>
      <c r="M18" s="22"/>
      <c r="N18" s="22"/>
      <c r="O18" s="22"/>
    </row>
    <row r="19" spans="1:15" ht="14.5" customHeight="1" x14ac:dyDescent="0.4">
      <c r="I19" s="22"/>
      <c r="J19" s="22"/>
      <c r="K19" s="22"/>
      <c r="L19" s="22"/>
      <c r="M19" s="22"/>
      <c r="N19" s="22"/>
      <c r="O19" s="22"/>
    </row>
    <row r="20" spans="1:15" ht="14.5" customHeight="1" x14ac:dyDescent="0.4">
      <c r="B20" t="s">
        <v>75</v>
      </c>
      <c r="C20" t="s">
        <v>72</v>
      </c>
      <c r="D20" t="s">
        <v>73</v>
      </c>
      <c r="E20" t="s">
        <v>52</v>
      </c>
      <c r="G20" s="5"/>
      <c r="I20" s="22"/>
      <c r="J20" s="22"/>
      <c r="K20" s="22"/>
      <c r="L20" s="22"/>
      <c r="M20" s="22"/>
      <c r="N20" s="22"/>
      <c r="O20" s="22"/>
    </row>
    <row r="21" spans="1:15" ht="14.5" customHeight="1" x14ac:dyDescent="0.4">
      <c r="A21" t="s">
        <v>53</v>
      </c>
      <c r="B21">
        <f>E16</f>
        <v>7304528000</v>
      </c>
      <c r="C21" s="14">
        <f>B21/B23</f>
        <v>0.83193033064334632</v>
      </c>
      <c r="D21" s="5">
        <f>'Answer 3'!C23</f>
        <v>7.0912499999999989E-2</v>
      </c>
      <c r="E21" s="5">
        <f>D21</f>
        <v>7.0912499999999989E-2</v>
      </c>
      <c r="G21" s="5"/>
      <c r="I21" s="22"/>
      <c r="J21" s="22"/>
      <c r="K21" s="22"/>
      <c r="L21" s="22"/>
      <c r="M21" s="22"/>
      <c r="N21" s="22"/>
      <c r="O21" s="22"/>
    </row>
    <row r="22" spans="1:15" ht="14.5" customHeight="1" x14ac:dyDescent="0.4">
      <c r="A22" t="s">
        <v>54</v>
      </c>
      <c r="B22">
        <f>I16</f>
        <v>1475688000</v>
      </c>
      <c r="C22" s="14">
        <f>B22/B23</f>
        <v>0.16806966935665363</v>
      </c>
      <c r="D22" s="5">
        <f>'Answer 2'!D9</f>
        <v>2.9118737065023825E-2</v>
      </c>
      <c r="E22" s="5">
        <f>D22*(1-'Answer 2'!N20)</f>
        <v>2.0183167284336848E-2</v>
      </c>
      <c r="I22" s="22"/>
      <c r="J22" s="22"/>
      <c r="K22" s="22"/>
      <c r="L22" s="22"/>
      <c r="M22" s="22"/>
      <c r="N22" s="22"/>
      <c r="O22" s="22"/>
    </row>
    <row r="23" spans="1:15" ht="14.5" customHeight="1" x14ac:dyDescent="0.4">
      <c r="B23">
        <f>B21+B22</f>
        <v>8780216000</v>
      </c>
      <c r="I23" s="22"/>
      <c r="J23" s="22"/>
      <c r="K23" s="22"/>
      <c r="L23" s="22"/>
      <c r="M23" s="22"/>
      <c r="N23" s="22"/>
      <c r="O23" s="22"/>
    </row>
    <row r="24" spans="1:15" ht="14.5" customHeight="1" x14ac:dyDescent="0.4">
      <c r="I24" s="22"/>
      <c r="J24" s="22"/>
      <c r="K24" s="22"/>
      <c r="L24" s="22"/>
      <c r="M24" s="22"/>
      <c r="N24" s="22"/>
      <c r="O24" s="22"/>
    </row>
    <row r="25" spans="1:15" ht="14.5" customHeight="1" x14ac:dyDescent="0.4">
      <c r="B25" s="9" t="s">
        <v>45</v>
      </c>
      <c r="C25" s="7">
        <f>SUMPRODUCT(C21:C22,E21:E22)</f>
        <v>6.2386437823794813E-2</v>
      </c>
      <c r="I25" s="22"/>
      <c r="J25" s="22"/>
      <c r="K25" s="22"/>
      <c r="L25" s="22"/>
      <c r="M25" s="22"/>
      <c r="N25" s="22"/>
      <c r="O25" s="22"/>
    </row>
    <row r="27" spans="1:15" x14ac:dyDescent="0.35">
      <c r="A27" s="26" t="s">
        <v>106</v>
      </c>
      <c r="B27" s="26"/>
      <c r="C27" s="26"/>
      <c r="D27" s="26"/>
      <c r="E27" s="26"/>
      <c r="F27" s="26"/>
      <c r="G27" s="26"/>
      <c r="H27" s="26"/>
      <c r="I27" s="26"/>
    </row>
    <row r="28" spans="1:15" x14ac:dyDescent="0.35">
      <c r="A28" s="26"/>
      <c r="B28" s="26"/>
      <c r="C28" s="26"/>
      <c r="D28" s="26"/>
      <c r="E28" s="26"/>
      <c r="F28" s="26"/>
      <c r="G28" s="26"/>
      <c r="H28" s="26"/>
      <c r="I28" s="26"/>
    </row>
    <row r="29" spans="1:15" x14ac:dyDescent="0.35">
      <c r="A29" s="26"/>
      <c r="B29" s="26"/>
      <c r="C29" s="26"/>
      <c r="D29" s="26"/>
      <c r="E29" s="26"/>
      <c r="F29" s="26"/>
      <c r="G29" s="26"/>
      <c r="H29" s="26"/>
      <c r="I29" s="26"/>
    </row>
  </sheetData>
  <mergeCells count="2">
    <mergeCell ref="A27:I29"/>
    <mergeCell ref="B3: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B87E-3882-426C-8FB4-36AE4B02349F}">
  <dimension ref="A1:K28"/>
  <sheetViews>
    <sheetView topLeftCell="A3" workbookViewId="0">
      <selection activeCell="M31" sqref="M31"/>
    </sheetView>
  </sheetViews>
  <sheetFormatPr defaultRowHeight="14.5" x14ac:dyDescent="0.35"/>
  <sheetData>
    <row r="1" spans="1:11" ht="21" x14ac:dyDescent="0.5">
      <c r="A1" s="31" t="s">
        <v>56</v>
      </c>
      <c r="B1" s="31"/>
      <c r="C1" s="31"/>
      <c r="D1" s="31"/>
      <c r="E1" s="31"/>
      <c r="F1" s="31"/>
      <c r="G1" s="31"/>
      <c r="H1" s="31"/>
      <c r="I1" s="31"/>
    </row>
    <row r="4" spans="1:11" x14ac:dyDescent="0.35">
      <c r="A4">
        <v>1</v>
      </c>
      <c r="B4" t="s">
        <v>55</v>
      </c>
    </row>
    <row r="5" spans="1:11" x14ac:dyDescent="0.35">
      <c r="B5" s="30" t="s">
        <v>57</v>
      </c>
      <c r="C5" s="30"/>
      <c r="D5" s="30"/>
      <c r="E5" s="30"/>
      <c r="F5" s="30"/>
    </row>
    <row r="7" spans="1:11" x14ac:dyDescent="0.35">
      <c r="A7">
        <v>2</v>
      </c>
      <c r="B7" s="30" t="s">
        <v>58</v>
      </c>
      <c r="C7" s="30"/>
      <c r="D7" s="30"/>
      <c r="E7" s="30"/>
      <c r="F7" s="30"/>
      <c r="G7" s="30"/>
      <c r="H7" s="30"/>
      <c r="I7" s="30"/>
    </row>
    <row r="8" spans="1:11" x14ac:dyDescent="0.35">
      <c r="B8" s="30" t="s">
        <v>59</v>
      </c>
      <c r="C8" s="30"/>
      <c r="D8" s="30"/>
      <c r="E8" s="30"/>
      <c r="F8" s="30"/>
      <c r="G8" s="30"/>
      <c r="H8" s="30"/>
      <c r="I8" s="30"/>
      <c r="J8" s="30"/>
      <c r="K8" s="30"/>
    </row>
    <row r="10" spans="1:11" x14ac:dyDescent="0.35">
      <c r="A10">
        <v>3</v>
      </c>
      <c r="B10" s="30" t="s">
        <v>60</v>
      </c>
      <c r="C10" s="30"/>
      <c r="D10" s="30"/>
      <c r="E10" s="30"/>
      <c r="F10" s="30"/>
      <c r="G10" s="30"/>
      <c r="H10" s="30"/>
      <c r="I10" s="30"/>
      <c r="J10" s="30"/>
    </row>
    <row r="11" spans="1:11" x14ac:dyDescent="0.35">
      <c r="B11" s="30" t="s">
        <v>61</v>
      </c>
      <c r="C11" s="30"/>
      <c r="D11" s="30"/>
      <c r="E11" s="30"/>
      <c r="F11" s="30"/>
      <c r="G11" s="30"/>
      <c r="H11" s="30"/>
      <c r="I11" s="30"/>
      <c r="J11" s="30"/>
    </row>
    <row r="13" spans="1:11" x14ac:dyDescent="0.35">
      <c r="A13">
        <v>4</v>
      </c>
      <c r="B13" s="30" t="s">
        <v>63</v>
      </c>
      <c r="C13" s="30"/>
      <c r="D13" s="30"/>
      <c r="E13" s="30"/>
      <c r="F13" s="30"/>
      <c r="G13" s="30"/>
      <c r="H13" s="30"/>
    </row>
    <row r="14" spans="1:11" x14ac:dyDescent="0.35">
      <c r="B14" s="30" t="s">
        <v>62</v>
      </c>
      <c r="C14" s="30"/>
      <c r="D14" s="30"/>
      <c r="E14" s="30"/>
      <c r="F14" s="30"/>
      <c r="G14" s="30"/>
      <c r="H14" s="30"/>
    </row>
    <row r="16" spans="1:11" x14ac:dyDescent="0.35">
      <c r="A16">
        <v>5</v>
      </c>
      <c r="B16" s="26" t="s">
        <v>64</v>
      </c>
      <c r="C16" s="26"/>
      <c r="D16" s="26"/>
      <c r="E16" s="26"/>
      <c r="F16" s="26"/>
      <c r="G16" s="26"/>
      <c r="H16" s="26"/>
    </row>
    <row r="17" spans="1:8" x14ac:dyDescent="0.35">
      <c r="B17" s="26"/>
      <c r="C17" s="26"/>
      <c r="D17" s="26"/>
      <c r="E17" s="26"/>
      <c r="F17" s="26"/>
      <c r="G17" s="26"/>
      <c r="H17" s="26"/>
    </row>
    <row r="18" spans="1:8" x14ac:dyDescent="0.35">
      <c r="B18" t="s">
        <v>65</v>
      </c>
    </row>
    <row r="21" spans="1:8" ht="18.5" x14ac:dyDescent="0.45">
      <c r="A21" s="4" t="s">
        <v>69</v>
      </c>
    </row>
    <row r="23" spans="1:8" x14ac:dyDescent="0.35">
      <c r="A23" t="s">
        <v>89</v>
      </c>
    </row>
    <row r="24" spans="1:8" x14ac:dyDescent="0.35">
      <c r="A24" t="s">
        <v>96</v>
      </c>
    </row>
    <row r="25" spans="1:8" x14ac:dyDescent="0.35">
      <c r="A25" t="s">
        <v>82</v>
      </c>
    </row>
    <row r="26" spans="1:8" x14ac:dyDescent="0.35">
      <c r="A26" t="s">
        <v>97</v>
      </c>
    </row>
    <row r="27" spans="1:8" x14ac:dyDescent="0.35">
      <c r="A27" t="s">
        <v>90</v>
      </c>
    </row>
    <row r="28" spans="1:8" x14ac:dyDescent="0.35">
      <c r="A28" t="s">
        <v>98</v>
      </c>
    </row>
  </sheetData>
  <mergeCells count="9">
    <mergeCell ref="B11:J11"/>
    <mergeCell ref="B13:H13"/>
    <mergeCell ref="B14:H14"/>
    <mergeCell ref="B16:H17"/>
    <mergeCell ref="A1:I1"/>
    <mergeCell ref="B5:F5"/>
    <mergeCell ref="B7:I7"/>
    <mergeCell ref="B8:K8"/>
    <mergeCell ref="B10:J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Answer 1</vt:lpstr>
      <vt:lpstr>Answer 2</vt:lpstr>
      <vt:lpstr>Answer 3</vt:lpstr>
      <vt:lpstr>Answer 4</vt:lpstr>
      <vt:lpstr>Answer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Singh</dc:creator>
  <cp:lastModifiedBy>Rajat Singh</cp:lastModifiedBy>
  <dcterms:created xsi:type="dcterms:W3CDTF">2025-08-23T08:16:07Z</dcterms:created>
  <dcterms:modified xsi:type="dcterms:W3CDTF">2026-01-03T17:32:42Z</dcterms:modified>
</cp:coreProperties>
</file>