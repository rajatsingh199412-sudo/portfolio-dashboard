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Job Search\New folder\"/>
    </mc:Choice>
  </mc:AlternateContent>
  <xr:revisionPtr revIDLastSave="0" documentId="13_ncr:1_{9AF0D446-E56D-41A2-A49E-8455327E284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 = L + OE" sheetId="1" r:id="rId1"/>
    <sheet name="Financial Statements" sheetId="5" r:id="rId2"/>
  </sheets>
  <definedNames>
    <definedName name="_xlnm.Print_Area" localSheetId="1">'Financial Statements'!$A$1:$J$57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4" i="5" l="1"/>
  <c r="C52" i="5"/>
  <c r="C50" i="5"/>
  <c r="C43" i="5"/>
  <c r="C39" i="5"/>
  <c r="B37" i="5"/>
  <c r="B38" i="5"/>
  <c r="C27" i="5"/>
  <c r="C22" i="5"/>
  <c r="C29" i="5" s="1"/>
  <c r="C15" i="5"/>
  <c r="C10" i="5"/>
  <c r="C16" i="5" s="1"/>
  <c r="G44" i="5"/>
  <c r="H44" i="5"/>
  <c r="I44" i="5"/>
  <c r="F44" i="5"/>
  <c r="G25" i="5"/>
  <c r="G21" i="5"/>
  <c r="G26" i="5" s="1"/>
  <c r="G28" i="5" s="1"/>
  <c r="G20" i="5"/>
  <c r="G9" i="5"/>
  <c r="E16" i="1"/>
  <c r="E36" i="1" s="1"/>
  <c r="E15" i="1"/>
  <c r="F36" i="1"/>
  <c r="H36" i="1"/>
  <c r="I36" i="1"/>
  <c r="K36" i="1"/>
  <c r="L36" i="1"/>
  <c r="M36" i="1"/>
  <c r="N36" i="1"/>
  <c r="P36" i="1"/>
  <c r="Q36" i="1"/>
  <c r="R36" i="1"/>
  <c r="D36" i="1"/>
  <c r="V33" i="1"/>
  <c r="D20" i="1"/>
  <c r="V20" i="1" s="1"/>
  <c r="G19" i="1"/>
  <c r="V19" i="1" s="1"/>
  <c r="T18" i="1"/>
  <c r="G17" i="1"/>
  <c r="G36" i="1" s="1"/>
  <c r="V15" i="1"/>
  <c r="V12" i="1"/>
  <c r="V13" i="1"/>
  <c r="V10" i="1"/>
  <c r="V5" i="1"/>
  <c r="V6" i="1"/>
  <c r="V7" i="1"/>
  <c r="V9" i="1"/>
  <c r="V11" i="1"/>
  <c r="V14" i="1"/>
  <c r="V21" i="1"/>
  <c r="V22" i="1"/>
  <c r="V23" i="1"/>
  <c r="V24" i="1"/>
  <c r="V25" i="1"/>
  <c r="V26" i="1"/>
  <c r="V27" i="1"/>
  <c r="V28" i="1"/>
  <c r="V29" i="1"/>
  <c r="V31" i="1"/>
  <c r="V32" i="1"/>
  <c r="V34" i="1"/>
  <c r="V35" i="1"/>
  <c r="V4" i="1"/>
  <c r="T16" i="1" l="1"/>
  <c r="S30" i="1" s="1"/>
  <c r="E37" i="1"/>
  <c r="V17" i="1"/>
  <c r="V18" i="1"/>
  <c r="V16" i="1" l="1"/>
  <c r="T36" i="1"/>
  <c r="V30" i="1"/>
  <c r="S36" i="1"/>
  <c r="L37" i="1" l="1"/>
  <c r="V36" i="1"/>
</calcChain>
</file>

<file path=xl/sharedStrings.xml><?xml version="1.0" encoding="utf-8"?>
<sst xmlns="http://schemas.openxmlformats.org/spreadsheetml/2006/main" count="159" uniqueCount="94">
  <si>
    <t>Tangible NCA</t>
  </si>
  <si>
    <t>AR</t>
  </si>
  <si>
    <t>Gdwill</t>
  </si>
  <si>
    <t xml:space="preserve"> =</t>
  </si>
  <si>
    <t>Inv</t>
  </si>
  <si>
    <t>Loan</t>
  </si>
  <si>
    <t>Bond</t>
  </si>
  <si>
    <t>AP</t>
  </si>
  <si>
    <t>Profit</t>
  </si>
  <si>
    <t>Bank</t>
  </si>
  <si>
    <t xml:space="preserve"> +</t>
  </si>
  <si>
    <t>Details</t>
  </si>
  <si>
    <t>R (E)</t>
  </si>
  <si>
    <t>INCOME STATEMENT</t>
  </si>
  <si>
    <t>Retained Profit</t>
  </si>
  <si>
    <t>Depo &amp; PrePay</t>
  </si>
  <si>
    <t>Pref Share Cap</t>
  </si>
  <si>
    <t>Reserves</t>
  </si>
  <si>
    <t>ASSETS</t>
  </si>
  <si>
    <t>LIABILITY</t>
  </si>
  <si>
    <t>OWNERS EQUITY</t>
  </si>
  <si>
    <t>STATEMENT OF FINANCIAL POSITION</t>
  </si>
  <si>
    <t>STATEMENT OF CASH FLOW</t>
  </si>
  <si>
    <t>workings</t>
  </si>
  <si>
    <t>$'000</t>
  </si>
  <si>
    <t>Total Liab + OE</t>
  </si>
  <si>
    <t>HP</t>
  </si>
  <si>
    <t xml:space="preserve"> </t>
  </si>
  <si>
    <t>.</t>
  </si>
  <si>
    <t>DP</t>
  </si>
  <si>
    <t>for the year ended 31 December 20X5</t>
  </si>
  <si>
    <t>STATEMENT OF CHANGES IN EQUITY for the year ended 31 December 20X5</t>
  </si>
  <si>
    <t>BALANCE SHEET as at 31 Dec 20X5</t>
  </si>
  <si>
    <t>for the year ended 31 Dec 20X5</t>
  </si>
  <si>
    <t>no entry</t>
  </si>
  <si>
    <t>amortization exp</t>
  </si>
  <si>
    <t>intrest exp</t>
  </si>
  <si>
    <t>pref dividend</t>
  </si>
  <si>
    <t>Depriciation exp</t>
  </si>
  <si>
    <t>sales</t>
  </si>
  <si>
    <t>COGS</t>
  </si>
  <si>
    <t>operating exp</t>
  </si>
  <si>
    <t>loss on disposal</t>
  </si>
  <si>
    <t>bad debts</t>
  </si>
  <si>
    <t>salary exp</t>
  </si>
  <si>
    <t>insurance premium</t>
  </si>
  <si>
    <t>discard of inventory</t>
  </si>
  <si>
    <t>tax exp</t>
  </si>
  <si>
    <t>interim ordinary dividend</t>
  </si>
  <si>
    <t>bonus shares</t>
  </si>
  <si>
    <t>Ord Share Cap .5 dollar</t>
  </si>
  <si>
    <t>Ord Share Cap 1 dollar</t>
  </si>
  <si>
    <t>bond intrest exp</t>
  </si>
  <si>
    <t>transfer to reserve</t>
  </si>
  <si>
    <t>Revenue</t>
  </si>
  <si>
    <t>Gross profit</t>
  </si>
  <si>
    <t>Expense</t>
  </si>
  <si>
    <t>Total</t>
  </si>
  <si>
    <t>EBIT</t>
  </si>
  <si>
    <t>EBT</t>
  </si>
  <si>
    <t>Tax expense</t>
  </si>
  <si>
    <t>net income</t>
  </si>
  <si>
    <t>balance at 1 jaunary 2025</t>
  </si>
  <si>
    <t>Net income</t>
  </si>
  <si>
    <t>Interim dividend in cash</t>
  </si>
  <si>
    <t>Bonus Shares</t>
  </si>
  <si>
    <t>Share split</t>
  </si>
  <si>
    <t>balance at 31 december 2025</t>
  </si>
  <si>
    <t>Assets</t>
  </si>
  <si>
    <t>Total NCA</t>
  </si>
  <si>
    <t>Total CA</t>
  </si>
  <si>
    <t>Total Assets</t>
  </si>
  <si>
    <t>Total libility</t>
  </si>
  <si>
    <t>Total OE</t>
  </si>
  <si>
    <t>FA</t>
  </si>
  <si>
    <t>OA</t>
  </si>
  <si>
    <t>IA</t>
  </si>
  <si>
    <t>FINANCING ACTIVITY</t>
  </si>
  <si>
    <t>OPERATING ACTIVITY</t>
  </si>
  <si>
    <t>Receipt from customers</t>
  </si>
  <si>
    <t>Payments to AP and exp</t>
  </si>
  <si>
    <t>INVESTING ACTIVITY</t>
  </si>
  <si>
    <t>Acquisition of NCA</t>
  </si>
  <si>
    <t>Ordinary shares</t>
  </si>
  <si>
    <t>Bonds</t>
  </si>
  <si>
    <t>Preferense shares</t>
  </si>
  <si>
    <t>loan</t>
  </si>
  <si>
    <t>ordinary dividend paid</t>
  </si>
  <si>
    <t>Net cash flow from OA</t>
  </si>
  <si>
    <t>Net cash flow from IA</t>
  </si>
  <si>
    <t>Net cash flow from FA</t>
  </si>
  <si>
    <t>Changes in Balance</t>
  </si>
  <si>
    <t>Balance at start</t>
  </si>
  <si>
    <t>balance at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</si>
</sst>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;[Red]\-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rgb="FFFF0000"/>
      <name val="Arial Black"/>
      <family val="2"/>
    </font>
    <font>
      <sz val="11"/>
      <name val="Arial Black"/>
      <family val="2"/>
    </font>
    <font>
      <sz val="11"/>
      <color theme="0"/>
      <name val="Arial Black"/>
      <family val="2"/>
    </font>
    <font>
      <sz val="10"/>
      <color theme="1"/>
      <name val="Times New Roman"/>
      <family val="1"/>
    </font>
    <font>
      <sz val="12"/>
      <color theme="1"/>
      <name val="Arial Rounded MT Bold"/>
      <family val="2"/>
    </font>
    <font>
      <sz val="12"/>
      <color rgb="FFFF0000"/>
      <name val="Arial Rounded MT Bold"/>
      <family val="2"/>
    </font>
    <font>
      <sz val="12"/>
      <color rgb="FF000000"/>
      <name val="Arial Rounded MT Bold"/>
      <family val="2"/>
    </font>
    <font>
      <sz val="10"/>
      <color theme="1"/>
      <name val="Arial Rounded MT Bold"/>
      <family val="2"/>
    </font>
    <font>
      <sz val="11"/>
      <color theme="1"/>
      <name val="Arial Rounded MT Bold"/>
      <family val="2"/>
    </font>
    <font>
      <sz val="12"/>
      <name val="Arial Rounded MT Bold"/>
      <family val="2"/>
    </font>
    <font>
      <b/>
      <sz val="12"/>
      <color theme="1"/>
      <name val="Arial Rounded MT Bol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10" fillId="0" borderId="1" xfId="0" applyFont="1" applyBorder="1"/>
    <xf numFmtId="0" fontId="9" fillId="0" borderId="1" xfId="0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5" fillId="0" borderId="1" xfId="0" applyFont="1" applyBorder="1"/>
    <xf numFmtId="0" fontId="8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vertical="center"/>
    </xf>
    <xf numFmtId="0" fontId="0" fillId="0" borderId="1" xfId="0" applyBorder="1"/>
    <xf numFmtId="0" fontId="11" fillId="0" borderId="1" xfId="0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/>
    </xf>
    <xf numFmtId="165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1" fillId="0" borderId="1" xfId="0" applyFont="1" applyBorder="1"/>
    <xf numFmtId="0" fontId="6" fillId="0" borderId="2" xfId="0" applyFont="1" applyBorder="1" applyAlignment="1">
      <alignment vertical="center"/>
    </xf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12" fillId="0" borderId="1" xfId="0" applyFont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6" fillId="3" borderId="1" xfId="0" applyFont="1" applyFill="1" applyBorder="1"/>
    <xf numFmtId="0" fontId="1" fillId="5" borderId="0" xfId="0" applyFont="1" applyFill="1"/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58"/>
  <sheetViews>
    <sheetView topLeftCell="A18" zoomScale="70" zoomScaleNormal="70" zoomScaleSheetLayoutView="80" zoomScalePageLayoutView="60" workbookViewId="0">
      <selection activeCell="E39" sqref="E39"/>
    </sheetView>
  </sheetViews>
  <sheetFormatPr defaultRowHeight="14.5" x14ac:dyDescent="0.35"/>
  <cols>
    <col min="2" max="2" width="6.90625" bestFit="1" customWidth="1"/>
    <col min="3" max="3" width="6.90625" customWidth="1"/>
    <col min="4" max="4" width="10.90625" customWidth="1"/>
    <col min="5" max="5" width="11" customWidth="1"/>
    <col min="6" max="6" width="10.54296875" customWidth="1"/>
    <col min="7" max="7" width="10.36328125" customWidth="1"/>
    <col min="8" max="8" width="9.54296875" customWidth="1"/>
    <col min="9" max="9" width="8.453125" bestFit="1" customWidth="1"/>
    <col min="10" max="10" width="3.453125" customWidth="1"/>
    <col min="12" max="12" width="9.1796875" bestFit="1" customWidth="1"/>
    <col min="14" max="14" width="8.6328125" customWidth="1"/>
    <col min="15" max="15" width="3.81640625" customWidth="1"/>
    <col min="16" max="16" width="9.6328125" customWidth="1"/>
    <col min="17" max="17" width="9.81640625" bestFit="1" customWidth="1"/>
    <col min="18" max="18" width="11.6328125" bestFit="1" customWidth="1"/>
    <col min="19" max="19" width="11.81640625" customWidth="1"/>
    <col min="20" max="20" width="9.81640625" bestFit="1" customWidth="1"/>
    <col min="21" max="21" width="25" customWidth="1"/>
  </cols>
  <sheetData>
    <row r="1" spans="1:22" ht="17" x14ac:dyDescent="0.5">
      <c r="B1" s="1" t="s">
        <v>29</v>
      </c>
      <c r="C1" s="1"/>
      <c r="D1" s="1"/>
      <c r="E1" s="1"/>
      <c r="F1" s="1" t="s">
        <v>18</v>
      </c>
      <c r="G1" s="1"/>
      <c r="H1" s="1"/>
      <c r="I1" s="1"/>
      <c r="J1" s="1"/>
      <c r="K1" s="1"/>
      <c r="L1" s="1" t="s">
        <v>19</v>
      </c>
      <c r="M1" s="1"/>
      <c r="N1" s="1"/>
      <c r="O1" s="1"/>
      <c r="P1" s="1"/>
      <c r="Q1" s="1" t="s">
        <v>20</v>
      </c>
      <c r="R1" s="1"/>
      <c r="S1" s="1"/>
      <c r="T1" s="1"/>
    </row>
    <row r="2" spans="1:22" ht="68" x14ac:dyDescent="0.5">
      <c r="B2" s="1" t="s">
        <v>24</v>
      </c>
      <c r="C2" s="1"/>
      <c r="D2" s="1" t="s">
        <v>9</v>
      </c>
      <c r="E2" s="2" t="s">
        <v>0</v>
      </c>
      <c r="F2" s="3" t="s">
        <v>15</v>
      </c>
      <c r="G2" s="3" t="s">
        <v>4</v>
      </c>
      <c r="H2" s="1" t="s">
        <v>1</v>
      </c>
      <c r="I2" s="1" t="s">
        <v>2</v>
      </c>
      <c r="J2" s="1" t="s">
        <v>3</v>
      </c>
      <c r="K2" s="1" t="s">
        <v>5</v>
      </c>
      <c r="L2" s="1" t="s">
        <v>6</v>
      </c>
      <c r="M2" s="2" t="s">
        <v>16</v>
      </c>
      <c r="N2" s="1" t="s">
        <v>7</v>
      </c>
      <c r="O2" s="1" t="s">
        <v>10</v>
      </c>
      <c r="P2" s="2" t="s">
        <v>50</v>
      </c>
      <c r="Q2" s="2" t="s">
        <v>51</v>
      </c>
      <c r="R2" s="1" t="s">
        <v>17</v>
      </c>
      <c r="S2" s="2" t="s">
        <v>14</v>
      </c>
      <c r="T2" s="1" t="s">
        <v>8</v>
      </c>
      <c r="U2" s="1" t="s">
        <v>11</v>
      </c>
    </row>
    <row r="3" spans="1:22" ht="17" x14ac:dyDescent="0.5">
      <c r="B3" s="1"/>
      <c r="C3" s="1"/>
      <c r="D3" s="1"/>
      <c r="E3" s="1"/>
      <c r="F3" s="3"/>
      <c r="G3" s="3"/>
      <c r="H3" s="1"/>
      <c r="I3" s="1"/>
      <c r="J3" s="1" t="s">
        <v>3</v>
      </c>
      <c r="K3" s="1"/>
      <c r="L3" s="1"/>
      <c r="M3" s="2"/>
      <c r="N3" s="1"/>
      <c r="O3" s="1" t="s">
        <v>10</v>
      </c>
      <c r="P3" s="1"/>
      <c r="Q3" s="2"/>
      <c r="R3" s="1"/>
      <c r="S3" s="1"/>
      <c r="T3" s="4" t="s">
        <v>12</v>
      </c>
    </row>
    <row r="4" spans="1:22" ht="17" x14ac:dyDescent="0.5">
      <c r="A4">
        <v>1</v>
      </c>
      <c r="B4" s="1"/>
      <c r="C4" s="1"/>
      <c r="D4" s="1"/>
      <c r="E4" s="1"/>
      <c r="F4" s="3"/>
      <c r="G4" s="3"/>
      <c r="H4" s="1"/>
      <c r="I4" s="1"/>
      <c r="J4" s="1"/>
      <c r="K4" s="1"/>
      <c r="L4" s="1"/>
      <c r="M4" s="2"/>
      <c r="N4" s="1"/>
      <c r="O4" s="1"/>
      <c r="P4" s="1"/>
      <c r="Q4" s="2"/>
      <c r="R4" s="1"/>
      <c r="S4" s="1"/>
      <c r="T4" s="5"/>
      <c r="U4" s="1" t="s">
        <v>34</v>
      </c>
      <c r="V4">
        <f>SUM(B4:I4)-SUM(K4:T4)</f>
        <v>0</v>
      </c>
    </row>
    <row r="5" spans="1:22" ht="17" x14ac:dyDescent="0.5">
      <c r="A5">
        <v>2</v>
      </c>
      <c r="B5" s="1"/>
      <c r="C5" s="1" t="s">
        <v>74</v>
      </c>
      <c r="D5" s="1">
        <v>150000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150000</v>
      </c>
      <c r="R5" s="1"/>
      <c r="S5" s="1"/>
      <c r="T5" s="1"/>
      <c r="V5">
        <f t="shared" ref="V5:V36" si="0">SUM(B5:I5)-SUM(K5:T5)</f>
        <v>0</v>
      </c>
    </row>
    <row r="6" spans="1:22" ht="17" x14ac:dyDescent="0.5">
      <c r="A6">
        <v>3</v>
      </c>
      <c r="B6" s="1"/>
      <c r="C6" s="1" t="s">
        <v>74</v>
      </c>
      <c r="D6" s="1">
        <v>50000</v>
      </c>
      <c r="E6" s="1"/>
      <c r="F6" s="1"/>
      <c r="G6" s="1"/>
      <c r="H6" s="1"/>
      <c r="I6" s="1"/>
      <c r="J6" s="1"/>
      <c r="K6" s="1"/>
      <c r="L6" s="1"/>
      <c r="M6" s="1">
        <v>50000</v>
      </c>
      <c r="N6" s="1"/>
      <c r="O6" s="1"/>
      <c r="P6" s="1"/>
      <c r="Q6" s="1"/>
      <c r="R6" s="1"/>
      <c r="S6" s="1"/>
      <c r="T6" s="1"/>
      <c r="V6">
        <f t="shared" si="0"/>
        <v>0</v>
      </c>
    </row>
    <row r="7" spans="1:22" ht="17" x14ac:dyDescent="0.5">
      <c r="A7">
        <v>4</v>
      </c>
      <c r="B7" s="1"/>
      <c r="C7" s="1" t="s">
        <v>74</v>
      </c>
      <c r="D7" s="1">
        <v>20000</v>
      </c>
      <c r="J7" s="1"/>
      <c r="L7" s="1">
        <v>20000</v>
      </c>
      <c r="M7" s="1"/>
      <c r="O7" s="1"/>
      <c r="P7" s="1"/>
      <c r="R7" s="1"/>
      <c r="S7" s="1"/>
      <c r="T7" s="1"/>
      <c r="V7">
        <f t="shared" si="0"/>
        <v>0</v>
      </c>
    </row>
    <row r="8" spans="1:22" ht="17" x14ac:dyDescent="0.5">
      <c r="B8" s="1"/>
      <c r="C8" s="1" t="s">
        <v>75</v>
      </c>
      <c r="D8" s="28">
        <v>-1000</v>
      </c>
      <c r="E8" s="29"/>
      <c r="F8" s="29"/>
      <c r="G8" s="29"/>
      <c r="H8" s="29"/>
      <c r="I8" s="29"/>
      <c r="J8" s="28"/>
      <c r="K8" s="29"/>
      <c r="L8" s="28"/>
      <c r="M8" s="28"/>
      <c r="N8" s="29"/>
      <c r="O8" s="28"/>
      <c r="P8" s="28"/>
      <c r="Q8" s="29"/>
      <c r="R8" s="28"/>
      <c r="S8" s="28"/>
      <c r="T8" s="28">
        <v>-1000</v>
      </c>
      <c r="U8" t="s">
        <v>52</v>
      </c>
    </row>
    <row r="9" spans="1:22" ht="17" x14ac:dyDescent="0.5">
      <c r="A9">
        <v>5</v>
      </c>
      <c r="B9" s="1"/>
      <c r="C9" s="1"/>
      <c r="D9" s="1"/>
      <c r="E9">
        <v>100000</v>
      </c>
      <c r="J9" s="1"/>
      <c r="L9" s="1"/>
      <c r="M9" s="1"/>
      <c r="O9" s="1"/>
      <c r="P9" s="1"/>
      <c r="Q9">
        <v>100000</v>
      </c>
      <c r="R9" s="1"/>
      <c r="S9" s="1"/>
      <c r="T9" s="1"/>
      <c r="U9" s="1"/>
      <c r="V9">
        <f t="shared" si="0"/>
        <v>0</v>
      </c>
    </row>
    <row r="10" spans="1:22" ht="17" x14ac:dyDescent="0.5">
      <c r="B10" s="1"/>
      <c r="C10" s="1"/>
      <c r="D10" s="1"/>
      <c r="E10">
        <v>-20000</v>
      </c>
      <c r="J10" s="1"/>
      <c r="L10" s="1"/>
      <c r="M10" s="1"/>
      <c r="O10" s="1"/>
      <c r="P10" s="1"/>
      <c r="R10" s="1"/>
      <c r="S10" s="1"/>
      <c r="T10" s="1">
        <v>-20000</v>
      </c>
      <c r="U10" s="1" t="s">
        <v>38</v>
      </c>
      <c r="V10">
        <f t="shared" si="0"/>
        <v>0</v>
      </c>
    </row>
    <row r="11" spans="1:22" ht="17" x14ac:dyDescent="0.5">
      <c r="A11">
        <v>6</v>
      </c>
      <c r="B11" s="1"/>
      <c r="C11" s="1" t="s">
        <v>76</v>
      </c>
      <c r="D11" s="1">
        <v>-12000</v>
      </c>
      <c r="E11" s="1"/>
      <c r="F11" s="1"/>
      <c r="G11" s="1"/>
      <c r="H11" s="1"/>
      <c r="I11" s="1">
        <v>82000</v>
      </c>
      <c r="J11" s="1"/>
      <c r="K11" s="28">
        <v>70000</v>
      </c>
      <c r="L11" s="1"/>
      <c r="M11" s="1"/>
      <c r="N11" s="28"/>
      <c r="O11" s="1"/>
      <c r="P11" s="1"/>
      <c r="Q11" s="1"/>
      <c r="R11" s="1"/>
      <c r="S11" s="1"/>
      <c r="T11" s="1"/>
      <c r="V11">
        <f t="shared" si="0"/>
        <v>0</v>
      </c>
    </row>
    <row r="12" spans="1:22" ht="17" x14ac:dyDescent="0.5">
      <c r="B12" s="1"/>
      <c r="C12" s="1"/>
      <c r="D12" s="1"/>
      <c r="E12" s="1"/>
      <c r="F12" s="1"/>
      <c r="G12" s="1"/>
      <c r="H12" s="1"/>
      <c r="I12" s="1">
        <v>-10000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-10000</v>
      </c>
      <c r="U12" t="s">
        <v>35</v>
      </c>
      <c r="V12">
        <f t="shared" si="0"/>
        <v>0</v>
      </c>
    </row>
    <row r="13" spans="1:22" ht="17" x14ac:dyDescent="0.5">
      <c r="B13" s="1"/>
      <c r="C13" s="1" t="s">
        <v>75</v>
      </c>
      <c r="D13" s="1">
        <v>-7000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>
        <v>-7000</v>
      </c>
      <c r="U13" s="29" t="s">
        <v>36</v>
      </c>
      <c r="V13">
        <f t="shared" si="0"/>
        <v>0</v>
      </c>
    </row>
    <row r="14" spans="1:22" ht="17" x14ac:dyDescent="0.5">
      <c r="A14">
        <v>7</v>
      </c>
      <c r="B14" s="1"/>
      <c r="C14" s="1" t="s">
        <v>75</v>
      </c>
      <c r="D14" s="1">
        <v>-3000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>
        <v>-3000</v>
      </c>
      <c r="U14" s="1" t="s">
        <v>37</v>
      </c>
      <c r="V14">
        <f t="shared" si="0"/>
        <v>0</v>
      </c>
    </row>
    <row r="15" spans="1:22" ht="17" x14ac:dyDescent="0.5">
      <c r="A15">
        <v>8</v>
      </c>
      <c r="B15" s="1"/>
      <c r="C15" s="33" t="s">
        <v>76</v>
      </c>
      <c r="D15" s="1">
        <v>-40000</v>
      </c>
      <c r="E15" s="1">
        <f>16000+24000</f>
        <v>40000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>
        <f t="shared" si="0"/>
        <v>0</v>
      </c>
    </row>
    <row r="16" spans="1:22" ht="17" x14ac:dyDescent="0.5">
      <c r="B16" s="1"/>
      <c r="C16" s="1"/>
      <c r="D16" s="1"/>
      <c r="E16" s="1">
        <f>-4000-8000</f>
        <v>-12000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>
        <f>E16+G16</f>
        <v>-12000</v>
      </c>
      <c r="U16" s="1" t="s">
        <v>38</v>
      </c>
      <c r="V16">
        <f t="shared" si="0"/>
        <v>0</v>
      </c>
    </row>
    <row r="17" spans="1:22" ht="17" x14ac:dyDescent="0.5">
      <c r="A17">
        <v>9</v>
      </c>
      <c r="B17" s="1"/>
      <c r="C17" s="1" t="s">
        <v>75</v>
      </c>
      <c r="D17" s="1">
        <v>-150000</v>
      </c>
      <c r="E17" s="1"/>
      <c r="F17" s="1"/>
      <c r="G17" s="1">
        <f>150000+90000</f>
        <v>240000</v>
      </c>
      <c r="H17" s="1"/>
      <c r="I17" s="1"/>
      <c r="J17" s="1"/>
      <c r="K17" s="1"/>
      <c r="L17" s="1"/>
      <c r="M17" s="1"/>
      <c r="N17" s="1">
        <v>90000</v>
      </c>
      <c r="O17" s="1"/>
      <c r="P17" s="1"/>
      <c r="Q17" s="1"/>
      <c r="R17" s="1"/>
      <c r="S17" s="1"/>
      <c r="T17" s="1"/>
      <c r="U17" s="1"/>
      <c r="V17">
        <f t="shared" si="0"/>
        <v>0</v>
      </c>
    </row>
    <row r="18" spans="1:22" ht="17" x14ac:dyDescent="0.5">
      <c r="A18">
        <v>10</v>
      </c>
      <c r="C18" s="1" t="s">
        <v>75</v>
      </c>
      <c r="D18" s="1">
        <v>210000</v>
      </c>
      <c r="E18" s="1"/>
      <c r="F18" s="1"/>
      <c r="G18" s="1"/>
      <c r="H18" s="1">
        <v>290000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f>D18+H18</f>
        <v>500000</v>
      </c>
      <c r="U18" s="1" t="s">
        <v>39</v>
      </c>
      <c r="V18">
        <f t="shared" si="0"/>
        <v>0</v>
      </c>
    </row>
    <row r="19" spans="1:22" ht="17" x14ac:dyDescent="0.5">
      <c r="C19" s="1"/>
      <c r="D19" s="1"/>
      <c r="E19" s="1"/>
      <c r="F19" s="1"/>
      <c r="G19" s="1">
        <f>-125000-65000</f>
        <v>-190000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-190000</v>
      </c>
      <c r="U19" s="1" t="s">
        <v>40</v>
      </c>
      <c r="V19">
        <f t="shared" si="0"/>
        <v>0</v>
      </c>
    </row>
    <row r="20" spans="1:22" ht="17" x14ac:dyDescent="0.5">
      <c r="A20">
        <v>11</v>
      </c>
      <c r="B20" s="1"/>
      <c r="C20" s="1" t="s">
        <v>75</v>
      </c>
      <c r="D20" s="1">
        <f>110000-60000</f>
        <v>50000</v>
      </c>
      <c r="E20" s="1"/>
      <c r="F20" s="1"/>
      <c r="G20" s="1"/>
      <c r="H20" s="1">
        <v>-110000</v>
      </c>
      <c r="I20" s="1"/>
      <c r="J20" s="1"/>
      <c r="K20" s="1"/>
      <c r="L20" s="1"/>
      <c r="M20" s="1"/>
      <c r="N20" s="1">
        <v>-60000</v>
      </c>
      <c r="O20" s="1"/>
      <c r="P20" s="1"/>
      <c r="Q20" s="1"/>
      <c r="R20" s="1"/>
      <c r="S20" s="1"/>
      <c r="T20" s="1"/>
      <c r="U20" s="1"/>
      <c r="V20">
        <f t="shared" si="0"/>
        <v>0</v>
      </c>
    </row>
    <row r="21" spans="1:22" ht="17" x14ac:dyDescent="0.5">
      <c r="A21">
        <v>12</v>
      </c>
      <c r="B21" s="1"/>
      <c r="C21" s="1" t="s">
        <v>75</v>
      </c>
      <c r="D21" s="1">
        <v>-73000</v>
      </c>
      <c r="E21" s="1"/>
      <c r="F21" s="1"/>
      <c r="G21" s="1"/>
      <c r="H21" s="1"/>
      <c r="I21" s="1"/>
      <c r="J21" s="1"/>
      <c r="K21" s="1"/>
      <c r="L21" s="1"/>
      <c r="M21" s="1"/>
      <c r="N21" s="1">
        <v>27000</v>
      </c>
      <c r="O21" s="1"/>
      <c r="P21" s="1"/>
      <c r="Q21" s="1"/>
      <c r="R21" s="1"/>
      <c r="S21" s="1"/>
      <c r="T21" s="1">
        <v>-100000</v>
      </c>
      <c r="U21" s="1" t="s">
        <v>41</v>
      </c>
      <c r="V21">
        <f t="shared" si="0"/>
        <v>0</v>
      </c>
    </row>
    <row r="22" spans="1:22" ht="17" x14ac:dyDescent="0.5">
      <c r="A22">
        <v>13</v>
      </c>
      <c r="B22" s="1"/>
      <c r="C22" s="1" t="s">
        <v>75</v>
      </c>
      <c r="D22" s="27">
        <v>11000</v>
      </c>
      <c r="E22" s="27"/>
      <c r="F22" s="27"/>
      <c r="G22" s="27"/>
      <c r="H22" s="27">
        <v>-11000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>
        <f t="shared" si="0"/>
        <v>0</v>
      </c>
    </row>
    <row r="23" spans="1:22" ht="17" x14ac:dyDescent="0.5">
      <c r="A23">
        <v>14</v>
      </c>
      <c r="B23" s="1"/>
      <c r="C23" s="1" t="s">
        <v>75</v>
      </c>
      <c r="D23" s="27">
        <v>-14000</v>
      </c>
      <c r="E23" s="27"/>
      <c r="F23" s="28"/>
      <c r="G23" s="1"/>
      <c r="H23" s="1"/>
      <c r="I23" s="1"/>
      <c r="J23" s="1"/>
      <c r="K23" s="1"/>
      <c r="L23" s="1"/>
      <c r="M23" s="1"/>
      <c r="N23" s="28">
        <v>-14000</v>
      </c>
      <c r="O23" s="1"/>
      <c r="P23" s="1"/>
      <c r="Q23" s="1"/>
      <c r="R23" s="1"/>
      <c r="S23" s="1"/>
      <c r="T23" s="1"/>
      <c r="U23" s="1"/>
      <c r="V23">
        <f t="shared" si="0"/>
        <v>0</v>
      </c>
    </row>
    <row r="24" spans="1:22" ht="17" x14ac:dyDescent="0.5">
      <c r="A24">
        <v>15</v>
      </c>
      <c r="B24" s="1"/>
      <c r="C24" s="1"/>
      <c r="D24" s="1"/>
      <c r="E24" s="1"/>
      <c r="F24" s="28"/>
      <c r="G24" s="28">
        <v>-11000</v>
      </c>
      <c r="H24" s="28">
        <v>8000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>
        <v>-3000</v>
      </c>
      <c r="U24" s="1" t="s">
        <v>42</v>
      </c>
      <c r="V24">
        <f t="shared" si="0"/>
        <v>0</v>
      </c>
    </row>
    <row r="25" spans="1:22" ht="17" x14ac:dyDescent="0.5">
      <c r="A25">
        <v>16</v>
      </c>
      <c r="B25" s="1"/>
      <c r="C25" s="1"/>
      <c r="D25" s="1"/>
      <c r="E25" s="1"/>
      <c r="F25" s="1"/>
      <c r="G25" s="1"/>
      <c r="H25" s="1">
        <v>-1000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>
        <v>-1000</v>
      </c>
      <c r="U25" s="1" t="s">
        <v>43</v>
      </c>
      <c r="V25">
        <f t="shared" si="0"/>
        <v>0</v>
      </c>
    </row>
    <row r="26" spans="1:22" ht="17" x14ac:dyDescent="0.5">
      <c r="A26">
        <v>17</v>
      </c>
      <c r="B26" s="1"/>
      <c r="C26" s="1" t="s">
        <v>75</v>
      </c>
      <c r="D26" s="1">
        <v>-36000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-36000</v>
      </c>
      <c r="U26" s="1" t="s">
        <v>44</v>
      </c>
      <c r="V26">
        <f t="shared" si="0"/>
        <v>0</v>
      </c>
    </row>
    <row r="27" spans="1:22" ht="17" x14ac:dyDescent="0.5">
      <c r="A27">
        <v>18</v>
      </c>
      <c r="B27" s="1"/>
      <c r="C27" s="1" t="s">
        <v>75</v>
      </c>
      <c r="D27" s="1">
        <v>-9000</v>
      </c>
      <c r="E27" s="1"/>
      <c r="F27" s="1">
        <v>3000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>
        <v>-6000</v>
      </c>
      <c r="U27" s="1" t="s">
        <v>45</v>
      </c>
      <c r="V27">
        <f t="shared" si="0"/>
        <v>0</v>
      </c>
    </row>
    <row r="28" spans="1:22" ht="17" x14ac:dyDescent="0.5">
      <c r="A28">
        <v>19</v>
      </c>
      <c r="B28" s="1"/>
      <c r="C28" s="1"/>
      <c r="D28" s="1"/>
      <c r="E28" s="1"/>
      <c r="F28" s="1"/>
      <c r="G28" s="1">
        <v>-4000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>
        <v>-4000</v>
      </c>
      <c r="U28" s="1" t="s">
        <v>46</v>
      </c>
      <c r="V28">
        <f t="shared" si="0"/>
        <v>0</v>
      </c>
    </row>
    <row r="29" spans="1:22" ht="17" x14ac:dyDescent="0.5">
      <c r="A29">
        <v>20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>
        <v>17000</v>
      </c>
      <c r="O29" s="1"/>
      <c r="P29" s="1"/>
      <c r="Q29" s="1"/>
      <c r="R29" s="1"/>
      <c r="S29" s="1"/>
      <c r="T29" s="1">
        <v>-17000</v>
      </c>
      <c r="U29" s="1" t="s">
        <v>47</v>
      </c>
      <c r="V29">
        <f t="shared" si="0"/>
        <v>0</v>
      </c>
    </row>
    <row r="30" spans="1:22" ht="17" x14ac:dyDescent="0.5">
      <c r="A30">
        <v>21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>
        <f>SUM(T4:T29)</f>
        <v>90000</v>
      </c>
      <c r="T30" s="1">
        <v>-90000</v>
      </c>
      <c r="U30" s="1"/>
      <c r="V30">
        <f t="shared" si="0"/>
        <v>0</v>
      </c>
    </row>
    <row r="31" spans="1:22" ht="17" x14ac:dyDescent="0.5">
      <c r="A31">
        <v>22</v>
      </c>
      <c r="B31" s="1"/>
      <c r="C31" s="1" t="s">
        <v>74</v>
      </c>
      <c r="D31" s="1">
        <v>-14000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>
        <v>-14000</v>
      </c>
      <c r="T31" s="1"/>
      <c r="U31" s="1" t="s">
        <v>48</v>
      </c>
      <c r="V31">
        <f t="shared" si="0"/>
        <v>0</v>
      </c>
    </row>
    <row r="32" spans="1:22" ht="17" x14ac:dyDescent="0.5">
      <c r="A32">
        <v>23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>
        <v>25000</v>
      </c>
      <c r="R32" s="1"/>
      <c r="S32" s="1">
        <v>-25000</v>
      </c>
      <c r="T32" s="1"/>
      <c r="U32" s="1" t="s">
        <v>49</v>
      </c>
      <c r="V32">
        <f t="shared" si="0"/>
        <v>0</v>
      </c>
    </row>
    <row r="33" spans="1:22" ht="17" x14ac:dyDescent="0.5">
      <c r="A33">
        <v>24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>
        <v>275000</v>
      </c>
      <c r="Q33" s="1">
        <v>-275000</v>
      </c>
      <c r="R33" s="1"/>
      <c r="S33" s="1"/>
      <c r="T33" s="1"/>
      <c r="U33" s="1"/>
      <c r="V33">
        <f t="shared" si="0"/>
        <v>0</v>
      </c>
    </row>
    <row r="34" spans="1:22" ht="17" x14ac:dyDescent="0.5">
      <c r="A34">
        <v>25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 t="s">
        <v>34</v>
      </c>
      <c r="V34">
        <f t="shared" si="0"/>
        <v>0</v>
      </c>
    </row>
    <row r="35" spans="1:22" ht="17" x14ac:dyDescent="0.5">
      <c r="A35">
        <v>26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>
        <v>21000</v>
      </c>
      <c r="S35" s="1">
        <v>-21000</v>
      </c>
      <c r="T35" s="1"/>
      <c r="U35" s="1" t="s">
        <v>53</v>
      </c>
      <c r="V35">
        <f t="shared" si="0"/>
        <v>0</v>
      </c>
    </row>
    <row r="36" spans="1:22" ht="17" x14ac:dyDescent="0.5">
      <c r="B36" s="1"/>
      <c r="C36" s="1"/>
      <c r="D36" s="1">
        <f>SUM(D3:D35)</f>
        <v>132000</v>
      </c>
      <c r="E36" s="1">
        <f t="shared" ref="E36:T36" si="1">SUM(E3:E35)</f>
        <v>108000</v>
      </c>
      <c r="F36" s="1">
        <f t="shared" si="1"/>
        <v>3000</v>
      </c>
      <c r="G36" s="1">
        <f t="shared" si="1"/>
        <v>35000</v>
      </c>
      <c r="H36" s="1">
        <f t="shared" si="1"/>
        <v>176000</v>
      </c>
      <c r="I36" s="1">
        <f t="shared" si="1"/>
        <v>72000</v>
      </c>
      <c r="J36" s="1"/>
      <c r="K36" s="1">
        <f t="shared" si="1"/>
        <v>70000</v>
      </c>
      <c r="L36" s="1">
        <f t="shared" si="1"/>
        <v>20000</v>
      </c>
      <c r="M36" s="1">
        <f t="shared" si="1"/>
        <v>50000</v>
      </c>
      <c r="N36" s="1">
        <f t="shared" si="1"/>
        <v>60000</v>
      </c>
      <c r="O36" s="1"/>
      <c r="P36" s="1">
        <f t="shared" si="1"/>
        <v>275000</v>
      </c>
      <c r="Q36" s="1">
        <f t="shared" si="1"/>
        <v>0</v>
      </c>
      <c r="R36" s="1">
        <f t="shared" si="1"/>
        <v>21000</v>
      </c>
      <c r="S36" s="1">
        <f t="shared" si="1"/>
        <v>30000</v>
      </c>
      <c r="T36" s="1">
        <f t="shared" si="1"/>
        <v>0</v>
      </c>
      <c r="V36">
        <f t="shared" si="0"/>
        <v>0</v>
      </c>
    </row>
    <row r="37" spans="1:22" ht="17" x14ac:dyDescent="0.5">
      <c r="B37" s="1"/>
      <c r="C37" s="1"/>
      <c r="D37" s="1"/>
      <c r="E37" s="1">
        <f>SUM(D36:I36)</f>
        <v>526000</v>
      </c>
      <c r="F37" s="1"/>
      <c r="G37" s="1"/>
      <c r="H37" s="1"/>
      <c r="I37" s="1"/>
      <c r="J37" s="1"/>
      <c r="K37" s="1"/>
      <c r="L37" s="1">
        <f>SUM(K36:T36)</f>
        <v>526000</v>
      </c>
      <c r="M37" s="1"/>
      <c r="N37" s="1"/>
      <c r="O37" s="1"/>
      <c r="P37" s="1"/>
      <c r="Q37" s="1"/>
      <c r="R37" s="1"/>
      <c r="S37" s="1"/>
      <c r="T37" s="1"/>
      <c r="U37" s="1"/>
    </row>
    <row r="38" spans="1:22" ht="17" x14ac:dyDescent="0.5">
      <c r="B38" s="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4"/>
      <c r="U38" s="1"/>
    </row>
    <row r="39" spans="1:22" ht="17" x14ac:dyDescent="0.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2" ht="17" x14ac:dyDescent="0.5">
      <c r="B40" s="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U40" s="1"/>
    </row>
    <row r="41" spans="1:22" ht="17" x14ac:dyDescent="0.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U41" s="1"/>
    </row>
    <row r="42" spans="1:22" ht="17" x14ac:dyDescent="0.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U42" s="1"/>
    </row>
    <row r="43" spans="1:22" ht="17" x14ac:dyDescent="0.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U43" s="1"/>
    </row>
    <row r="44" spans="1:22" ht="17" x14ac:dyDescent="0.5">
      <c r="B44" s="1"/>
      <c r="C44" s="1"/>
      <c r="J44" s="1"/>
      <c r="M44" s="1"/>
      <c r="O44" s="1"/>
      <c r="P44" s="1"/>
      <c r="R44" s="1"/>
      <c r="S44" s="1"/>
      <c r="U44" s="1"/>
    </row>
    <row r="45" spans="1:22" ht="17" x14ac:dyDescent="0.5">
      <c r="B45" s="1"/>
      <c r="C45" s="1"/>
      <c r="J45" s="1"/>
      <c r="M45" s="1"/>
      <c r="O45" s="1"/>
      <c r="P45" s="1"/>
      <c r="R45" s="1"/>
      <c r="S45" s="1"/>
      <c r="U45" s="1"/>
    </row>
    <row r="46" spans="1:22" ht="17" x14ac:dyDescent="0.5">
      <c r="B46" s="1"/>
      <c r="C46" s="1"/>
      <c r="J46" s="1"/>
      <c r="O46" s="1"/>
      <c r="P46" s="1"/>
      <c r="U46" s="1"/>
    </row>
    <row r="47" spans="1:22" ht="17" x14ac:dyDescent="0.5">
      <c r="B47" s="1"/>
      <c r="J47" s="1"/>
      <c r="M47" s="1"/>
      <c r="O47" s="1"/>
      <c r="P47" s="1"/>
      <c r="R47" s="1"/>
      <c r="S47" s="1"/>
      <c r="U47" s="1"/>
    </row>
    <row r="48" spans="1:22" ht="17" x14ac:dyDescent="0.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2:21" ht="17" x14ac:dyDescent="0.5">
      <c r="C49" s="1"/>
      <c r="I49" s="1"/>
      <c r="J49" s="1"/>
      <c r="K49" s="1"/>
      <c r="R49" s="1"/>
      <c r="S49" s="1"/>
      <c r="T49" s="1"/>
      <c r="U49" s="1"/>
    </row>
    <row r="50" spans="2:21" ht="17" x14ac:dyDescent="0.5">
      <c r="B50" s="1"/>
      <c r="J50" s="1"/>
      <c r="R50" s="1"/>
      <c r="S50" s="1"/>
      <c r="T50" s="1"/>
    </row>
    <row r="51" spans="2:21" ht="17" x14ac:dyDescent="0.5">
      <c r="B51" s="1" t="s">
        <v>28</v>
      </c>
      <c r="J51" s="1"/>
      <c r="R51" s="1"/>
      <c r="S51" s="1"/>
      <c r="T51" s="1" t="s">
        <v>28</v>
      </c>
      <c r="U51" t="s">
        <v>28</v>
      </c>
    </row>
    <row r="52" spans="2:21" ht="17" x14ac:dyDescent="0.5">
      <c r="J52" s="1"/>
      <c r="R52" s="1"/>
      <c r="S52" s="1"/>
      <c r="T52" s="1"/>
    </row>
    <row r="56" spans="2:21" x14ac:dyDescent="0.35">
      <c r="B56" t="s">
        <v>27</v>
      </c>
    </row>
    <row r="58" spans="2:21" x14ac:dyDescent="0.35">
      <c r="T58" t="s">
        <v>27</v>
      </c>
    </row>
  </sheetData>
  <printOptions gridLines="1"/>
  <pageMargins left="0.70866141732283472" right="0.70866141732283472" top="0.74803149606299213" bottom="0.74803149606299213" header="0.31496062992125984" footer="0.31496062992125984"/>
  <pageSetup scale="57" fitToHeight="0" orientation="landscape" horizontalDpi="200" verticalDpi="200" r:id="rId1"/>
  <headerFooter>
    <oddFooter>&amp;L&amp;P&amp;C&amp;P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A2F4-104C-4964-AA68-884BCFB0F884}">
  <sheetPr>
    <pageSetUpPr fitToPage="1"/>
  </sheetPr>
  <dimension ref="A1:O56"/>
  <sheetViews>
    <sheetView tabSelected="1" view="pageLayout" zoomScale="60" zoomScaleNormal="100" zoomScalePageLayoutView="60" workbookViewId="0">
      <selection activeCell="D54" sqref="D54"/>
    </sheetView>
  </sheetViews>
  <sheetFormatPr defaultRowHeight="14.5" x14ac:dyDescent="0.35"/>
  <cols>
    <col min="1" max="1" width="33.08984375" customWidth="1"/>
    <col min="2" max="2" width="9.54296875" bestFit="1" customWidth="1"/>
    <col min="3" max="3" width="10" customWidth="1"/>
    <col min="5" max="5" width="47.1796875" customWidth="1"/>
    <col min="6" max="6" width="13.90625" customWidth="1"/>
    <col min="7" max="7" width="9.36328125" bestFit="1" customWidth="1"/>
    <col min="8" max="8" width="9.453125" customWidth="1"/>
    <col min="9" max="9" width="10.36328125" bestFit="1" customWidth="1"/>
    <col min="12" max="12" width="11.36328125" customWidth="1"/>
    <col min="13" max="13" width="10.7265625" customWidth="1"/>
  </cols>
  <sheetData>
    <row r="1" spans="1:15" ht="17" x14ac:dyDescent="0.5">
      <c r="C1" s="1" t="s">
        <v>26</v>
      </c>
    </row>
    <row r="2" spans="1:15" ht="17" x14ac:dyDescent="0.5">
      <c r="A2" s="1" t="s">
        <v>29</v>
      </c>
      <c r="E2" s="1" t="s">
        <v>29</v>
      </c>
    </row>
    <row r="3" spans="1:15" ht="15" x14ac:dyDescent="0.35">
      <c r="A3" s="34" t="s">
        <v>21</v>
      </c>
      <c r="B3" s="34"/>
      <c r="C3" s="34"/>
      <c r="D3" s="16"/>
      <c r="E3" s="9" t="s">
        <v>13</v>
      </c>
      <c r="F3" s="9"/>
      <c r="G3" s="9"/>
      <c r="N3" s="15"/>
      <c r="O3" s="7"/>
    </row>
    <row r="4" spans="1:15" ht="15" x14ac:dyDescent="0.35">
      <c r="A4" s="34" t="s">
        <v>32</v>
      </c>
      <c r="B4" s="34"/>
      <c r="C4" s="34"/>
      <c r="D4" s="16"/>
      <c r="E4" s="34" t="s">
        <v>33</v>
      </c>
      <c r="F4" s="34"/>
      <c r="G4" s="9"/>
      <c r="N4" s="15"/>
      <c r="O4" s="7"/>
    </row>
    <row r="5" spans="1:15" ht="15" x14ac:dyDescent="0.35">
      <c r="A5" s="9"/>
      <c r="B5" s="9" t="s">
        <v>23</v>
      </c>
      <c r="C5" s="9" t="s">
        <v>24</v>
      </c>
      <c r="D5" s="16"/>
      <c r="E5" s="9"/>
      <c r="F5" s="9" t="s">
        <v>23</v>
      </c>
      <c r="G5" s="9" t="s">
        <v>24</v>
      </c>
      <c r="N5" s="7"/>
      <c r="O5" s="7"/>
    </row>
    <row r="6" spans="1:15" ht="15.5" x14ac:dyDescent="0.35">
      <c r="A6" s="9" t="s">
        <v>68</v>
      </c>
      <c r="B6" s="10"/>
      <c r="C6" s="9"/>
      <c r="D6" s="16"/>
      <c r="E6" s="30" t="s">
        <v>54</v>
      </c>
      <c r="F6" s="11"/>
      <c r="G6" s="12"/>
      <c r="N6" s="7"/>
      <c r="O6" s="7"/>
    </row>
    <row r="7" spans="1:15" ht="17" x14ac:dyDescent="0.5">
      <c r="A7" s="1"/>
      <c r="B7" s="1"/>
      <c r="C7" s="10"/>
      <c r="D7" s="16"/>
      <c r="E7" s="1" t="s">
        <v>39</v>
      </c>
      <c r="F7" s="1">
        <v>500000</v>
      </c>
      <c r="G7" s="1"/>
      <c r="N7" s="7"/>
      <c r="O7" s="7"/>
    </row>
    <row r="8" spans="1:15" ht="17" x14ac:dyDescent="0.5">
      <c r="A8" s="2" t="s">
        <v>0</v>
      </c>
      <c r="B8" s="1">
        <v>108000</v>
      </c>
      <c r="C8" s="10"/>
      <c r="D8" s="16"/>
      <c r="E8" s="1" t="s">
        <v>40</v>
      </c>
      <c r="F8" s="1">
        <v>-190000</v>
      </c>
      <c r="G8" s="1"/>
      <c r="N8" s="7"/>
      <c r="O8" s="7"/>
    </row>
    <row r="9" spans="1:15" ht="17" x14ac:dyDescent="0.5">
      <c r="A9" s="1" t="s">
        <v>2</v>
      </c>
      <c r="B9" s="1">
        <v>72000</v>
      </c>
      <c r="C9" s="9"/>
      <c r="D9" s="16"/>
      <c r="E9" s="9" t="s">
        <v>55</v>
      </c>
      <c r="F9" s="8"/>
      <c r="G9" s="9">
        <f>SUM(F7:F8)</f>
        <v>310000</v>
      </c>
      <c r="N9" s="7"/>
      <c r="O9" s="7"/>
    </row>
    <row r="10" spans="1:15" ht="17" x14ac:dyDescent="0.5">
      <c r="A10" s="3" t="s">
        <v>69</v>
      </c>
      <c r="B10" s="1"/>
      <c r="C10" s="9">
        <f>SUM(B8:B9)</f>
        <v>180000</v>
      </c>
      <c r="D10" s="16"/>
      <c r="E10" s="30" t="s">
        <v>56</v>
      </c>
      <c r="F10" s="8"/>
      <c r="G10" s="9"/>
      <c r="N10" s="7"/>
      <c r="O10" s="7"/>
    </row>
    <row r="11" spans="1:15" ht="17" x14ac:dyDescent="0.5">
      <c r="A11" s="1" t="s">
        <v>9</v>
      </c>
      <c r="B11" s="1">
        <v>132000</v>
      </c>
      <c r="C11" s="9"/>
      <c r="D11" s="16"/>
      <c r="E11" s="1" t="s">
        <v>38</v>
      </c>
      <c r="F11" s="28">
        <v>-32000</v>
      </c>
      <c r="G11" s="1"/>
      <c r="N11" s="7"/>
      <c r="O11" s="7"/>
    </row>
    <row r="12" spans="1:15" ht="17" x14ac:dyDescent="0.5">
      <c r="A12" s="3" t="s">
        <v>15</v>
      </c>
      <c r="B12" s="1">
        <v>3000</v>
      </c>
      <c r="C12" s="9"/>
      <c r="D12" s="16"/>
      <c r="E12" t="s">
        <v>35</v>
      </c>
      <c r="F12" s="1">
        <v>-10000</v>
      </c>
      <c r="N12" s="7"/>
      <c r="O12" s="7"/>
    </row>
    <row r="13" spans="1:15" ht="17" x14ac:dyDescent="0.5">
      <c r="A13" s="3" t="s">
        <v>4</v>
      </c>
      <c r="B13" s="1">
        <v>35000</v>
      </c>
      <c r="C13" s="8"/>
      <c r="D13" s="16"/>
      <c r="F13" s="1"/>
      <c r="N13" s="7"/>
      <c r="O13" s="7"/>
    </row>
    <row r="14" spans="1:15" ht="17" x14ac:dyDescent="0.5">
      <c r="A14" s="1" t="s">
        <v>1</v>
      </c>
      <c r="B14" s="1">
        <v>176000</v>
      </c>
      <c r="C14" s="8"/>
      <c r="D14" s="16"/>
      <c r="E14" s="1" t="s">
        <v>41</v>
      </c>
      <c r="F14" s="1">
        <v>-100000</v>
      </c>
      <c r="G14" s="1"/>
      <c r="N14" s="7"/>
      <c r="O14" s="7"/>
    </row>
    <row r="15" spans="1:15" ht="17" x14ac:dyDescent="0.5">
      <c r="A15" s="1" t="s">
        <v>70</v>
      </c>
      <c r="B15" s="1"/>
      <c r="C15" s="9">
        <f>SUM(B11:B14)</f>
        <v>346000</v>
      </c>
      <c r="D15" s="16"/>
      <c r="E15" s="1" t="s">
        <v>42</v>
      </c>
      <c r="F15" s="1">
        <v>-3000</v>
      </c>
      <c r="G15" s="1"/>
      <c r="N15" s="7"/>
      <c r="O15" s="7"/>
    </row>
    <row r="16" spans="1:15" ht="17" x14ac:dyDescent="0.5">
      <c r="A16" s="3" t="s">
        <v>71</v>
      </c>
      <c r="B16" s="1"/>
      <c r="C16" s="31">
        <f>SUM(C10,C15)</f>
        <v>526000</v>
      </c>
      <c r="D16" s="16"/>
      <c r="E16" s="1" t="s">
        <v>43</v>
      </c>
      <c r="F16" s="1">
        <v>-1000</v>
      </c>
      <c r="G16" s="1"/>
    </row>
    <row r="17" spans="1:7" ht="17" x14ac:dyDescent="0.5">
      <c r="A17" s="3"/>
      <c r="B17" s="1"/>
      <c r="C17" s="9"/>
      <c r="D17" s="16"/>
      <c r="E17" s="1" t="s">
        <v>44</v>
      </c>
      <c r="F17" s="1">
        <v>-36000</v>
      </c>
      <c r="G17" s="1"/>
    </row>
    <row r="18" spans="1:7" ht="17" x14ac:dyDescent="0.5">
      <c r="A18" s="1" t="s">
        <v>5</v>
      </c>
      <c r="B18" s="1">
        <v>70000</v>
      </c>
      <c r="C18" s="9"/>
      <c r="D18" s="16"/>
      <c r="E18" s="1" t="s">
        <v>45</v>
      </c>
      <c r="F18" s="1">
        <v>-6000</v>
      </c>
      <c r="G18" s="1"/>
    </row>
    <row r="19" spans="1:7" ht="17" x14ac:dyDescent="0.5">
      <c r="A19" s="1" t="s">
        <v>6</v>
      </c>
      <c r="B19" s="1">
        <v>20000</v>
      </c>
      <c r="C19" s="8"/>
      <c r="D19" s="16"/>
      <c r="E19" s="1" t="s">
        <v>46</v>
      </c>
      <c r="F19" s="1">
        <v>-4000</v>
      </c>
      <c r="G19" s="1"/>
    </row>
    <row r="20" spans="1:7" ht="17" x14ac:dyDescent="0.5">
      <c r="A20" s="2" t="s">
        <v>16</v>
      </c>
      <c r="B20" s="1">
        <v>50000</v>
      </c>
      <c r="C20" s="8"/>
      <c r="D20" s="16"/>
      <c r="E20" s="9" t="s">
        <v>57</v>
      </c>
      <c r="F20" s="8"/>
      <c r="G20" s="9">
        <f>SUM(F11:F19)</f>
        <v>-192000</v>
      </c>
    </row>
    <row r="21" spans="1:7" ht="17" x14ac:dyDescent="0.5">
      <c r="A21" s="1" t="s">
        <v>7</v>
      </c>
      <c r="B21" s="1">
        <v>60000</v>
      </c>
      <c r="C21" s="9"/>
      <c r="D21" s="16"/>
      <c r="E21" s="9" t="s">
        <v>58</v>
      </c>
      <c r="F21" s="8"/>
      <c r="G21" s="9">
        <f>SUM(G9,G20)</f>
        <v>118000</v>
      </c>
    </row>
    <row r="22" spans="1:7" ht="17" x14ac:dyDescent="0.5">
      <c r="A22" s="9" t="s">
        <v>72</v>
      </c>
      <c r="B22" s="10"/>
      <c r="C22" s="9">
        <f>SUM(B18:B21)</f>
        <v>200000</v>
      </c>
      <c r="D22" s="16"/>
      <c r="E22" t="s">
        <v>52</v>
      </c>
      <c r="F22" s="1">
        <v>-1000</v>
      </c>
    </row>
    <row r="23" spans="1:7" ht="17" x14ac:dyDescent="0.5">
      <c r="A23" s="2" t="s">
        <v>50</v>
      </c>
      <c r="B23" s="1">
        <v>275000</v>
      </c>
      <c r="C23" s="10"/>
      <c r="D23" s="16"/>
      <c r="E23" t="s">
        <v>36</v>
      </c>
      <c r="F23" s="1">
        <v>-7000</v>
      </c>
    </row>
    <row r="24" spans="1:7" ht="17" x14ac:dyDescent="0.5">
      <c r="A24" s="2" t="s">
        <v>51</v>
      </c>
      <c r="B24" s="1">
        <v>0</v>
      </c>
      <c r="C24" s="9"/>
      <c r="D24" s="16"/>
      <c r="E24" s="1" t="s">
        <v>37</v>
      </c>
      <c r="F24" s="1">
        <v>-3000</v>
      </c>
      <c r="G24" s="1"/>
    </row>
    <row r="25" spans="1:7" ht="17" x14ac:dyDescent="0.5">
      <c r="A25" s="1" t="s">
        <v>17</v>
      </c>
      <c r="B25" s="1">
        <v>21000</v>
      </c>
      <c r="C25" s="9"/>
      <c r="D25" s="16"/>
      <c r="E25" s="13" t="s">
        <v>57</v>
      </c>
      <c r="F25" s="13"/>
      <c r="G25" s="14">
        <f>SUM(F22:F24)</f>
        <v>-11000</v>
      </c>
    </row>
    <row r="26" spans="1:7" ht="17" x14ac:dyDescent="0.5">
      <c r="A26" s="2" t="s">
        <v>14</v>
      </c>
      <c r="B26" s="1">
        <v>30000</v>
      </c>
      <c r="C26" s="8"/>
      <c r="D26" s="16"/>
      <c r="E26" t="s">
        <v>59</v>
      </c>
      <c r="G26">
        <f>SUM(G21,G25)</f>
        <v>107000</v>
      </c>
    </row>
    <row r="27" spans="1:7" ht="17" x14ac:dyDescent="0.5">
      <c r="A27" s="9" t="s">
        <v>73</v>
      </c>
      <c r="B27" s="8"/>
      <c r="C27" s="8">
        <f>SUM(B23:B26)</f>
        <v>326000</v>
      </c>
      <c r="D27" s="16"/>
      <c r="E27" t="s">
        <v>60</v>
      </c>
      <c r="F27" s="1">
        <v>-17000</v>
      </c>
    </row>
    <row r="28" spans="1:7" ht="15.5" x14ac:dyDescent="0.35">
      <c r="A28" s="8"/>
      <c r="B28" s="9"/>
      <c r="C28" s="10"/>
      <c r="E28" t="s">
        <v>61</v>
      </c>
      <c r="G28">
        <f>SUM(G26,F27)</f>
        <v>90000</v>
      </c>
    </row>
    <row r="29" spans="1:7" ht="15.5" x14ac:dyDescent="0.35">
      <c r="A29" s="9" t="s">
        <v>25</v>
      </c>
      <c r="B29" s="10"/>
      <c r="C29" s="32">
        <f>SUM(C22,C27)</f>
        <v>526000</v>
      </c>
    </row>
    <row r="32" spans="1:7" ht="17" x14ac:dyDescent="0.5">
      <c r="A32" s="1" t="s">
        <v>29</v>
      </c>
    </row>
    <row r="33" spans="1:9" ht="17" x14ac:dyDescent="0.5">
      <c r="A33" s="34" t="s">
        <v>22</v>
      </c>
      <c r="B33" s="34"/>
      <c r="C33" s="34"/>
      <c r="E33" s="1" t="s">
        <v>29</v>
      </c>
    </row>
    <row r="34" spans="1:9" ht="15" x14ac:dyDescent="0.35">
      <c r="A34" s="34" t="s">
        <v>30</v>
      </c>
      <c r="B34" s="34"/>
      <c r="C34" s="9"/>
      <c r="E34" s="9" t="s">
        <v>31</v>
      </c>
      <c r="F34" s="9"/>
      <c r="G34" s="9"/>
      <c r="H34" s="9"/>
      <c r="I34" s="26"/>
    </row>
    <row r="35" spans="1:9" ht="68" x14ac:dyDescent="0.5">
      <c r="A35" s="9"/>
      <c r="B35" s="9" t="s">
        <v>23</v>
      </c>
      <c r="C35" s="9" t="s">
        <v>24</v>
      </c>
      <c r="E35" s="21"/>
      <c r="F35" s="2" t="s">
        <v>50</v>
      </c>
      <c r="G35" s="2" t="s">
        <v>51</v>
      </c>
      <c r="H35" s="1" t="s">
        <v>17</v>
      </c>
      <c r="I35" s="2" t="s">
        <v>14</v>
      </c>
    </row>
    <row r="36" spans="1:9" ht="15" x14ac:dyDescent="0.35">
      <c r="A36" s="13" t="s">
        <v>78</v>
      </c>
      <c r="B36" s="17"/>
      <c r="C36" s="9"/>
      <c r="E36" s="21" t="s">
        <v>62</v>
      </c>
      <c r="F36" s="22">
        <v>0</v>
      </c>
      <c r="G36" s="23">
        <v>0</v>
      </c>
      <c r="H36" s="24">
        <v>0</v>
      </c>
      <c r="I36" s="24">
        <v>0</v>
      </c>
    </row>
    <row r="37" spans="1:9" ht="15" x14ac:dyDescent="0.35">
      <c r="A37" s="9" t="s">
        <v>79</v>
      </c>
      <c r="B37" s="8">
        <f>SUM('A = L + OE'!D18,'A = L + OE'!D20,'A = L + OE'!D22)</f>
        <v>271000</v>
      </c>
      <c r="C37" s="9"/>
      <c r="E37" s="21" t="s">
        <v>9</v>
      </c>
      <c r="F37" s="24"/>
      <c r="G37" s="24">
        <v>150000</v>
      </c>
      <c r="H37" s="24"/>
      <c r="I37" s="24"/>
    </row>
    <row r="38" spans="1:9" ht="15.5" x14ac:dyDescent="0.35">
      <c r="A38" s="9" t="s">
        <v>80</v>
      </c>
      <c r="B38" s="8">
        <f>SUM('A = L + OE'!D8,'A = L + OE'!D13:D14,'A = L + OE'!D17,'A = L + OE'!D21,'A = L + OE'!D23,'A = L + OE'!D26:D27)</f>
        <v>-293000</v>
      </c>
      <c r="C38" s="9"/>
      <c r="E38" s="21" t="s">
        <v>0</v>
      </c>
      <c r="F38" s="24"/>
      <c r="G38" s="24">
        <v>100000</v>
      </c>
      <c r="H38" s="25"/>
      <c r="I38" s="21"/>
    </row>
    <row r="39" spans="1:9" ht="15" x14ac:dyDescent="0.35">
      <c r="A39" s="9" t="s">
        <v>88</v>
      </c>
      <c r="B39" s="17"/>
      <c r="C39" s="18">
        <f>SUM(B37:B38)</f>
        <v>-22000</v>
      </c>
      <c r="E39" s="21" t="s">
        <v>63</v>
      </c>
      <c r="F39" s="24"/>
      <c r="G39" s="24"/>
      <c r="H39" s="24"/>
      <c r="I39" s="24">
        <v>90000</v>
      </c>
    </row>
    <row r="40" spans="1:9" ht="15.5" x14ac:dyDescent="0.35">
      <c r="A40" s="9"/>
      <c r="B40" s="17"/>
      <c r="C40" s="19"/>
      <c r="E40" s="21" t="s">
        <v>64</v>
      </c>
      <c r="F40" s="24"/>
      <c r="G40" s="25"/>
      <c r="H40" s="25"/>
      <c r="I40" s="21">
        <v>-14000</v>
      </c>
    </row>
    <row r="41" spans="1:9" ht="15.5" x14ac:dyDescent="0.35">
      <c r="A41" s="9" t="s">
        <v>81</v>
      </c>
      <c r="B41" s="17"/>
      <c r="C41" s="19"/>
      <c r="E41" s="21" t="s">
        <v>65</v>
      </c>
      <c r="F41" s="25"/>
      <c r="G41" s="25">
        <v>25000</v>
      </c>
      <c r="H41" s="25"/>
      <c r="I41" s="24">
        <v>-25000</v>
      </c>
    </row>
    <row r="42" spans="1:9" ht="15.5" x14ac:dyDescent="0.35">
      <c r="A42" s="9" t="s">
        <v>82</v>
      </c>
      <c r="B42" s="8">
        <v>-52000</v>
      </c>
      <c r="C42" s="19"/>
      <c r="E42" s="21" t="s">
        <v>66</v>
      </c>
      <c r="F42" s="25">
        <v>275000</v>
      </c>
      <c r="G42" s="25">
        <v>-275000</v>
      </c>
      <c r="H42" s="25"/>
      <c r="I42" s="25"/>
    </row>
    <row r="43" spans="1:9" ht="15.5" x14ac:dyDescent="0.35">
      <c r="A43" s="9" t="s">
        <v>89</v>
      </c>
      <c r="B43" s="8"/>
      <c r="C43" s="19">
        <f>B42</f>
        <v>-52000</v>
      </c>
      <c r="E43" s="21" t="s">
        <v>53</v>
      </c>
      <c r="F43" s="25"/>
      <c r="G43" s="25"/>
      <c r="H43" s="25">
        <v>21000</v>
      </c>
      <c r="I43" s="25">
        <v>-21000</v>
      </c>
    </row>
    <row r="44" spans="1:9" ht="15" x14ac:dyDescent="0.35">
      <c r="A44" s="9" t="s">
        <v>77</v>
      </c>
      <c r="B44" s="8"/>
      <c r="C44" s="19"/>
      <c r="E44" s="21" t="s">
        <v>67</v>
      </c>
      <c r="F44" s="22">
        <f>SUM(F36:F43)</f>
        <v>275000</v>
      </c>
      <c r="G44" s="22">
        <f t="shared" ref="G44:I44" si="0">SUM(G36:G43)</f>
        <v>0</v>
      </c>
      <c r="H44" s="22">
        <f t="shared" si="0"/>
        <v>21000</v>
      </c>
      <c r="I44" s="22">
        <f t="shared" si="0"/>
        <v>30000</v>
      </c>
    </row>
    <row r="45" spans="1:9" ht="17" x14ac:dyDescent="0.5">
      <c r="A45" s="9" t="s">
        <v>83</v>
      </c>
      <c r="B45" s="1">
        <v>150000</v>
      </c>
      <c r="C45" s="8"/>
      <c r="E45" s="21"/>
      <c r="F45" s="25"/>
      <c r="G45" s="25"/>
      <c r="H45" s="24"/>
      <c r="I45" s="24"/>
    </row>
    <row r="46" spans="1:9" ht="17" x14ac:dyDescent="0.5">
      <c r="A46" s="9" t="s">
        <v>84</v>
      </c>
      <c r="B46" s="1">
        <v>20000</v>
      </c>
      <c r="C46" s="19"/>
      <c r="E46" s="21"/>
      <c r="F46" s="24"/>
      <c r="G46" s="24"/>
      <c r="H46" s="24"/>
      <c r="I46" s="24"/>
    </row>
    <row r="47" spans="1:9" ht="17" x14ac:dyDescent="0.5">
      <c r="A47" s="13" t="s">
        <v>85</v>
      </c>
      <c r="B47" s="1">
        <v>50000</v>
      </c>
      <c r="C47" s="19"/>
      <c r="E47" s="21"/>
      <c r="F47" s="25"/>
      <c r="G47" s="25"/>
      <c r="H47" s="25"/>
      <c r="I47" s="25"/>
    </row>
    <row r="48" spans="1:9" ht="15" x14ac:dyDescent="0.35">
      <c r="A48" s="9" t="s">
        <v>86</v>
      </c>
      <c r="B48" s="8"/>
      <c r="C48" s="19"/>
    </row>
    <row r="49" spans="1:3" ht="17" x14ac:dyDescent="0.5">
      <c r="A49" s="9" t="s">
        <v>87</v>
      </c>
      <c r="B49" s="1">
        <v>-14000</v>
      </c>
      <c r="C49" s="19"/>
    </row>
    <row r="50" spans="1:3" ht="15" x14ac:dyDescent="0.35">
      <c r="A50" s="9" t="s">
        <v>90</v>
      </c>
      <c r="B50" s="8"/>
      <c r="C50" s="19">
        <f>SUM(B45:B49)</f>
        <v>206000</v>
      </c>
    </row>
    <row r="51" spans="1:3" ht="15" x14ac:dyDescent="0.35">
      <c r="A51" s="9"/>
      <c r="B51" s="8"/>
      <c r="C51" s="20"/>
    </row>
    <row r="52" spans="1:3" ht="15" x14ac:dyDescent="0.35">
      <c r="A52" s="9" t="s">
        <v>91</v>
      </c>
      <c r="B52" s="17"/>
      <c r="C52" s="18">
        <f>SUM(C39,C43,C50)</f>
        <v>132000</v>
      </c>
    </row>
    <row r="53" spans="1:3" ht="15" x14ac:dyDescent="0.35">
      <c r="A53" s="20" t="s">
        <v>92</v>
      </c>
      <c r="B53" s="20"/>
      <c r="C53" s="8">
        <v>0</v>
      </c>
    </row>
    <row r="54" spans="1:3" ht="15" x14ac:dyDescent="0.35">
      <c r="A54" s="9" t="s">
        <v>93</v>
      </c>
      <c r="B54" s="17"/>
      <c r="C54">
        <f>C52</f>
        <v>132000</v>
      </c>
    </row>
    <row r="55" spans="1:3" ht="15" x14ac:dyDescent="0.35">
      <c r="A55" s="9"/>
      <c r="B55" s="17"/>
      <c r="C55" s="8"/>
    </row>
    <row r="56" spans="1:3" ht="15" x14ac:dyDescent="0.35">
      <c r="A56" s="9"/>
      <c r="B56" s="17"/>
      <c r="C56" s="8"/>
    </row>
  </sheetData>
  <mergeCells count="5">
    <mergeCell ref="A4:C4"/>
    <mergeCell ref="A34:B34"/>
    <mergeCell ref="E4:F4"/>
    <mergeCell ref="A3:C3"/>
    <mergeCell ref="A33:C33"/>
  </mergeCells>
  <printOptions gridLines="1"/>
  <pageMargins left="0.70866141732283472" right="0.70866141732283472" top="0.74803149606299213" bottom="0.74803149606299213" header="0.31496062992125984" footer="0.31496062992125984"/>
  <pageSetup scale="59" orientation="portrait" r:id="rId1"/>
  <headerFooter>
    <oddHeader>&amp;CDabang Pharma Ltd Indicative Solution v1.0</oddHeader>
    <oddFooter>&amp;C&amp;P</oddFooter>
  </headerFooter>
  <colBreaks count="2" manualBreakCount="2">
    <brk id="4" max="56" man="1"/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 = L + OE</vt:lpstr>
      <vt:lpstr>Financial Statements</vt:lpstr>
      <vt:lpstr>'Financial Statements'!Print_Area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spjsg</dc:creator>
  <cp:lastModifiedBy>Rajat Singh</cp:lastModifiedBy>
  <cp:lastPrinted>2021-08-21T12:02:27Z</cp:lastPrinted>
  <dcterms:created xsi:type="dcterms:W3CDTF">2011-08-20T06:03:12Z</dcterms:created>
  <dcterms:modified xsi:type="dcterms:W3CDTF">2026-01-02T15:44:30Z</dcterms:modified>
</cp:coreProperties>
</file>